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0d659b782341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f799dc0665845be"/>
    <x:sheet xmlns:r="http://schemas.openxmlformats.org/officeDocument/2006/relationships" name="Funders" sheetId="2" r:id="R127b61c5a4724061"/>
    <x:sheet xmlns:r="http://schemas.openxmlformats.org/officeDocument/2006/relationships" name="Allocations" sheetId="3" r:id="R757b78d1355e45bc"/>
    <x:sheet xmlns:r="http://schemas.openxmlformats.org/officeDocument/2006/relationships" name="Journals" sheetId="4" r:id="Rf12d09b8049b4cb6"/>
    <x:sheet xmlns:r="http://schemas.openxmlformats.org/officeDocument/2006/relationships" name="Paper Quality" sheetId="5" r:id="R801235b4892b4410"/>
    <x:sheet xmlns:r="http://schemas.openxmlformats.org/officeDocument/2006/relationships" name="Vanity" sheetId="6" r:id="R1cd9c929e3fe4f11"/>
    <x:sheet xmlns:r="http://schemas.openxmlformats.org/officeDocument/2006/relationships" name="Career" sheetId="7" r:id="R5721b3340b1946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1817e3d44549cc" /><Relationship Type="http://schemas.openxmlformats.org/officeDocument/2006/relationships/theme" Target="/xl/theme/theme1.xml" Id="Rd9a3cef4546248f6" /><Relationship Type="http://schemas.openxmlformats.org/officeDocument/2006/relationships/sharedStrings" Target="/xl/sharedStrings.xml" Id="Re900ef3daf214185" /><Relationship Type="http://schemas.openxmlformats.org/officeDocument/2006/relationships/worksheet" Target="/xl/worksheets/sheet1.xml" Id="R5f799dc0665845be" /><Relationship Type="http://schemas.openxmlformats.org/officeDocument/2006/relationships/worksheet" Target="/xl/worksheets/sheet2.xml" Id="R127b61c5a4724061" /><Relationship Type="http://schemas.openxmlformats.org/officeDocument/2006/relationships/worksheet" Target="/xl/worksheets/sheet3.xml" Id="R757b78d1355e45bc" /><Relationship Type="http://schemas.openxmlformats.org/officeDocument/2006/relationships/worksheet" Target="/xl/worksheets/sheet4.xml" Id="Rf12d09b8049b4cb6" /><Relationship Type="http://schemas.openxmlformats.org/officeDocument/2006/relationships/worksheet" Target="/xl/worksheets/sheet5.xml" Id="R801235b4892b4410" /><Relationship Type="http://schemas.openxmlformats.org/officeDocument/2006/relationships/worksheet" Target="/xl/worksheets/sheet6.xml" Id="R1cd9c929e3fe4f11" /><Relationship Type="http://schemas.openxmlformats.org/officeDocument/2006/relationships/worksheet" Target="/xl/worksheets/sheet7.xml" Id="R5721b3340b1946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Sim Academia 3000 Balance Model</x:v>
      </x:c>
      <x:c r="B1"/>
      <x:c r="C1"/>
      <x:c r="D1"/>
      <x:c r="E1"/>
      <x:c r="F1"/>
      <x:c r="G1"/>
      <x:c r="H1"/>
    </x:row>
    <x:row r="3">
      <x:c r="A3" t="str">
        <x:v>Input</x:v>
      </x:c>
      <x:c r="B3" t="str">
        <x:v>Value</x:v>
      </x:c>
      <x:c r="D3" t="str">
        <x:v>Journal</x:v>
      </x:c>
      <x:c r="E3" t="str">
        <x:v>Prestige</x:v>
      </x:c>
      <x:c r="F3" t="str">
        <x:v>Threshold</x:v>
      </x:c>
      <x:c r="G3" t="str">
        <x:v>Delta</x:v>
      </x:c>
      <x:c r="H3" t="str">
        <x:v>First Decision</x:v>
      </x:c>
    </x:row>
    <x:row r="4">
      <x:c r="A4" t="str">
        <x:v>Reputation</x:v>
      </x:c>
      <x:c r="B4" t="n">
        <x:v>0</x:v>
      </x:c>
      <x:c r="D4" t="str">
        <x:v>Proceedings of Preliminary Research</x:v>
      </x:c>
      <x:c r="E4" t="n">
        <x:v>1</x:v>
      </x:c>
      <x:c r="F4" t="n">
        <x:v>50</x:v>
      </x:c>
      <x:c r="G4" t="n">
        <x:f>$B$9-F4</x:f>
        <x:v>37</x:v>
      </x:c>
      <x:c r="H4" t="str">
        <x:f>IF(G4&gt;=10,"Accepted",IF(G4&lt;-15,"Rejected","Revision"))</x:f>
        <x:v>Accepted</x:v>
      </x:c>
    </x:row>
    <x:row r="5">
      <x:c r="A5" t="str">
        <x:v>Experience</x:v>
      </x:c>
      <x:c r="B5" t="n">
        <x:v>1</x:v>
      </x:c>
      <x:c r="D5" t="str">
        <x:v>Regional Letters</x:v>
      </x:c>
      <x:c r="E5" t="n">
        <x:v>2</x:v>
      </x:c>
      <x:c r="F5" t="n">
        <x:v>68</x:v>
      </x:c>
      <x:c r="G5" t="n">
        <x:f>$B$9-F5</x:f>
        <x:v>19</x:v>
      </x:c>
      <x:c r="H5" t="str">
        <x:f>IF(G5&gt;=10,"Accepted",IF(G5&lt;-15,"Rejected","Revision"))</x:f>
        <x:v>Accepted</x:v>
      </x:c>
    </x:row>
    <x:row r="6">
      <x:c r="A6" t="str">
        <x:v>Allocation bonus</x:v>
      </x:c>
      <x:c r="B6" t="n">
        <x:v>10</x:v>
      </x:c>
      <x:c r="D6" t="str">
        <x:v>Annals of Applied Research</x:v>
      </x:c>
      <x:c r="E6" t="n">
        <x:v>3</x:v>
      </x:c>
      <x:c r="F6" t="n">
        <x:v>84</x:v>
      </x:c>
      <x:c r="G6" t="n">
        <x:f>$B$9-F6</x:f>
        <x:v>3</x:v>
      </x:c>
      <x:c r="H6" t="str">
        <x:f>IF(G6&gt;=10,"Accepted",IF(G6&lt;-15,"Rejected","Revision"))</x:f>
        <x:v>Revision</x:v>
      </x:c>
    </x:row>
    <x:row r="7">
      <x:c r="A7" t="str">
        <x:v>Paper novelty</x:v>
      </x:c>
      <x:c r="B7" t="n">
        <x:v>0.5</x:v>
      </x:c>
      <x:c r="D7" t="str">
        <x:v>Journal of Emerging Studies</x:v>
      </x:c>
      <x:c r="E7" t="n">
        <x:v>4</x:v>
      </x:c>
      <x:c r="F7" t="n">
        <x:v>102</x:v>
      </x:c>
      <x:c r="G7" t="n">
        <x:f>$B$9-F7</x:f>
        <x:v>-15</x:v>
      </x:c>
      <x:c r="H7" t="str">
        <x:f>IF(G7&gt;=10,"Accepted",IF(G7&lt;-15,"Rejected","Revision"))</x:f>
        <x:v>Revision</x:v>
      </x:c>
    </x:row>
    <x:row r="8">
      <x:c r="A8" t="str">
        <x:v>Paper volatility</x:v>
      </x:c>
      <x:c r="B8" t="n">
        <x:v>0</x:v>
      </x:c>
      <x:c r="D8" t="str">
        <x:v>Transactions</x:v>
      </x:c>
      <x:c r="E8" t="n">
        <x:v>5</x:v>
      </x:c>
      <x:c r="F8" t="n">
        <x:v>122</x:v>
      </x:c>
      <x:c r="G8" t="n">
        <x:f>$B$9-F8</x:f>
        <x:v>-35</x:v>
      </x:c>
      <x:c r="H8" t="str">
        <x:f>IF(G8&gt;=10,"Accepted",IF(G8&lt;-15,"Rejected","Revision"))</x:f>
        <x:v>Rejected</x:v>
      </x:c>
    </x:row>
    <x:row r="9">
      <x:c r="A9" t="str">
        <x:v>Paper quality</x:v>
      </x:c>
      <x:c r="B9" t="n">
        <x:f>58+7*B5+24*B7+B8+B6</x:f>
        <x:v>87</x:v>
      </x:c>
      <x:c r="D9" t="str">
        <x:v>International Review</x:v>
      </x:c>
      <x:c r="E9" t="n">
        <x:v>6</x:v>
      </x:c>
      <x:c r="F9" t="n">
        <x:v>146</x:v>
      </x:c>
      <x:c r="G9" t="n">
        <x:f>$B$9-F9</x:f>
        <x:v>-59</x:v>
      </x:c>
      <x:c r="H9" t="str">
        <x:f>IF(G9&gt;=10,"Accepted",IF(G9&lt;-15,"Rejected","Revision"))</x:f>
        <x:v>Rejected</x:v>
      </x:c>
    </x:row>
    <x:row r="10">
      <x:c r="D10" t="str">
        <x:v>Advanced Studies</x:v>
      </x:c>
      <x:c r="E10" t="n">
        <x:v>7</x:v>
      </x:c>
      <x:c r="F10" t="n">
        <x:v>172</x:v>
      </x:c>
      <x:c r="G10" t="n">
        <x:f>$B$9-F10</x:f>
        <x:v>-85</x:v>
      </x:c>
      <x:c r="H10" t="str">
        <x:f>IF(G10&gt;=10,"Accepted",IF(G10&lt;-15,"Rejected","Revision"))</x:f>
        <x:v>Rejected</x:v>
      </x:c>
    </x:row>
    <x:row r="11">
      <x:c r="D11" t="str">
        <x:v>Frontiers of Theory</x:v>
      </x:c>
      <x:c r="E11" t="n">
        <x:v>8</x:v>
      </x:c>
      <x:c r="F11" t="n">
        <x:v>205</x:v>
      </x:c>
      <x:c r="G11" t="n">
        <x:f>$B$9-F11</x:f>
        <x:v>-118</x:v>
      </x:c>
      <x:c r="H11" t="str">
        <x:f>IF(G11&gt;=10,"Accepted",IF(G11&lt;-15,"Rejected","Revision"))</x:f>
        <x:v>Rejected</x:v>
      </x:c>
    </x:row>
    <x:row r="12">
      <x:c r="D12" t="str">
        <x:v>Nature Reviews</x:v>
      </x:c>
      <x:c r="E12" t="n">
        <x:v>9</x:v>
      </x:c>
      <x:c r="F12" t="n">
        <x:v>240</x:v>
      </x:c>
      <x:c r="G12" t="n">
        <x:f>$B$9-F12</x:f>
        <x:v>-153</x:v>
      </x:c>
      <x:c r="H12" t="str">
        <x:f>IF(G12&gt;=10,"Accepted",IF(G12&lt;-15,"Rejected","Revision"))</x:f>
        <x:v>Rejected</x:v>
      </x:c>
    </x:row>
    <x:row r="13">
      <x:c r="D13" t="str">
        <x:v>Annals of Transformative Research</x:v>
      </x:c>
      <x:c r="E13" t="n">
        <x:v>10</x:v>
      </x:c>
      <x:c r="F13" t="n">
        <x:v>285</x:v>
      </x:c>
      <x:c r="G13" t="n">
        <x:f>$B$9-F13</x:f>
        <x:v>-198</x:v>
      </x:c>
      <x:c r="H13" t="str">
        <x:f>IF(G13&gt;=10,"Accepted",IF(G13&lt;-15,"Rejected","Revision"))</x:f>
        <x:v>Rejected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Funder</x:v>
      </x:c>
      <x:c r="B1" t="str">
        <x:v>Min Grant</x:v>
      </x:c>
      <x:c r="C1" t="str">
        <x:v>Max Grant</x:v>
      </x:c>
      <x:c r="D1" t="str">
        <x:v>Base Chance</x:v>
      </x:c>
      <x:c r="E1" t="str">
        <x:v>Avg Grant</x:v>
      </x:c>
      <x:c r="F1" t="str">
        <x:v>Chance @ Rep 0</x:v>
      </x:c>
      <x:c r="G1" t="str">
        <x:v>Chance @ Rep 25</x:v>
      </x:c>
      <x:c r="H1" t="str">
        <x:v>Chance @ Rep 50</x:v>
      </x:c>
      <x:c r="I1" t="str">
        <x:v>Expected Value @ Rep 0</x:v>
      </x:c>
    </x:row>
    <x:row r="2">
      <x:c r="A2" t="str">
        <x:v>Departmental Coffee-Ring Seed Fund</x:v>
      </x:c>
      <x:c r="B2" t="n">
        <x:v>80</x:v>
      </x:c>
      <x:c r="C2" t="n">
        <x:v>120</x:v>
      </x:c>
      <x:c r="D2" t="n">
        <x:v>0.72</x:v>
      </x:c>
      <x:c r="E2" t="n">
        <x:f>AVERAGE(B2:C2)</x:f>
        <x:v>100</x:v>
      </x:c>
      <x:c r="F2" t="n">
        <x:f>MAX(0.05,MIN(0.95,D2+0.25*(1/(1+EXP(-0.11*(0-25))))))</x:f>
        <x:v>0.7350216625435019</x:v>
      </x:c>
      <x:c r="G2" t="n">
        <x:f>MAX(0.05,MIN(0.95,D2+0.25*(1/(1+EXP(-0.11*(25-25))))))</x:f>
        <x:v>0.845</x:v>
      </x:c>
      <x:c r="H2" t="n">
        <x:f>MAX(0.05,MIN(0.95,D2+0.25*(1/(1+EXP(-0.11*(50-25))))))</x:f>
        <x:v>0.95</x:v>
      </x:c>
      <x:c r="I2" t="n">
        <x:f>E2*F2</x:f>
        <x:v>73.50216625435019</x:v>
      </x:c>
    </x:row>
    <x:row r="3">
      <x:c r="A3" t="str">
        <x:v>Local Symposium Microgrant</x:v>
      </x:c>
      <x:c r="B3" t="n">
        <x:v>180</x:v>
      </x:c>
      <x:c r="C3" t="n">
        <x:v>320</x:v>
      </x:c>
      <x:c r="D3" t="n">
        <x:v>0.48</x:v>
      </x:c>
      <x:c r="E3" t="n">
        <x:f>AVERAGE(B3:C3)</x:f>
        <x:v>250</x:v>
      </x:c>
      <x:c r="F3" t="n">
        <x:f>MAX(0.05,MIN(0.95,D3+0.25*(1/(1+EXP(-0.11*(0-25))))))</x:f>
        <x:v>0.4950216625435019</x:v>
      </x:c>
      <x:c r="G3" t="n">
        <x:f>MAX(0.05,MIN(0.95,D3+0.25*(1/(1+EXP(-0.11*(25-25))))))</x:f>
        <x:v>0.605</x:v>
      </x:c>
      <x:c r="H3" t="n">
        <x:f>MAX(0.05,MIN(0.95,D3+0.25*(1/(1+EXP(-0.11*(50-25))))))</x:f>
        <x:v>0.7149783374564981</x:v>
      </x:c>
      <x:c r="I3" t="n">
        <x:f>E3*F3</x:f>
        <x:v>123.75541563587547</x:v>
      </x:c>
    </x:row>
    <x:row r="4">
      <x:c r="A4" t="str">
        <x:v>Campus Interdisciplinary Initiative</x:v>
      </x:c>
      <x:c r="B4" t="n">
        <x:v>650</x:v>
      </x:c>
      <x:c r="C4" t="n">
        <x:v>1200</x:v>
      </x:c>
      <x:c r="D4" t="n">
        <x:v>0.26</x:v>
      </x:c>
      <x:c r="E4" t="n">
        <x:f>AVERAGE(B4:C4)</x:f>
        <x:v>925</x:v>
      </x:c>
      <x:c r="F4" t="n">
        <x:f>MAX(0.05,MIN(0.95,D4+0.25*(1/(1+EXP(-0.11*(0-25))))))</x:f>
        <x:v>0.2750216625435019</x:v>
      </x:c>
      <x:c r="G4" t="n">
        <x:f>MAX(0.05,MIN(0.95,D4+0.25*(1/(1+EXP(-0.11*(25-25))))))</x:f>
        <x:v>0.385</x:v>
      </x:c>
      <x:c r="H4" t="n">
        <x:f>MAX(0.05,MIN(0.95,D4+0.25*(1/(1+EXP(-0.11*(50-25))))))</x:f>
        <x:v>0.4949783374564981</x:v>
      </x:c>
      <x:c r="I4" t="n">
        <x:f>E4*F4</x:f>
        <x:v>254.39503785273928</x:v>
      </x:c>
    </x:row>
    <x:row r="5">
      <x:c r="A5" t="str">
        <x:v>Society for Incremental Discoveries</x:v>
      </x:c>
      <x:c r="B5" t="n">
        <x:v>1800</x:v>
      </x:c>
      <x:c r="C5" t="n">
        <x:v>3200</x:v>
      </x:c>
      <x:c r="D5" t="n">
        <x:v>0.16</x:v>
      </x:c>
      <x:c r="E5" t="n">
        <x:f>AVERAGE(B5:C5)</x:f>
        <x:v>2500</x:v>
      </x:c>
      <x:c r="F5" t="n">
        <x:f>MAX(0.05,MIN(0.95,D5+0.25*(1/(1+EXP(-0.11*(0-25))))))</x:f>
        <x:v>0.1750216625435019</x:v>
      </x:c>
      <x:c r="G5" t="n">
        <x:f>MAX(0.05,MIN(0.95,D5+0.25*(1/(1+EXP(-0.11*(25-25))))))</x:f>
        <x:v>0.28500000000000003</x:v>
      </x:c>
      <x:c r="H5" t="n">
        <x:f>MAX(0.05,MIN(0.95,D5+0.25*(1/(1+EXP(-0.11*(50-25))))))</x:f>
        <x:v>0.39497833745649813</x:v>
      </x:c>
      <x:c r="I5" t="n">
        <x:f>E5*F5</x:f>
        <x:v>437.55415635875477</x:v>
      </x:c>
    </x:row>
    <x:row r="6">
      <x:c r="A6" t="str">
        <x:v>Institute for Avant-Garde Research</x:v>
      </x:c>
      <x:c r="B6" t="n">
        <x:v>4500</x:v>
      </x:c>
      <x:c r="C6" t="n">
        <x:v>8000</x:v>
      </x:c>
      <x:c r="D6" t="n">
        <x:v>0.09</x:v>
      </x:c>
      <x:c r="E6" t="n">
        <x:f>AVERAGE(B6:C6)</x:f>
        <x:v>6250</x:v>
      </x:c>
      <x:c r="F6" t="n">
        <x:f>MAX(0.05,MIN(0.95,D6+0.25*(1/(1+EXP(-0.11*(0-25))))))</x:f>
        <x:v>0.1050216625435019</x:v>
      </x:c>
      <x:c r="G6" t="n">
        <x:f>MAX(0.05,MIN(0.95,D6+0.25*(1/(1+EXP(-0.11*(25-25))))))</x:f>
        <x:v>0.215</x:v>
      </x:c>
      <x:c r="H6" t="n">
        <x:f>MAX(0.05,MIN(0.95,D6+0.25*(1/(1+EXP(-0.11*(50-25))))))</x:f>
        <x:v>0.32497833745649807</x:v>
      </x:c>
      <x:c r="I6" t="n">
        <x:f>E6*F6</x:f>
        <x:v>656.3853908968869</x:v>
      </x:c>
    </x:row>
    <x:row r="7">
      <x:c r="A7" t="str">
        <x:v>Mysterious Reviewer #2 Endowment</x:v>
      </x:c>
      <x:c r="B7" t="n">
        <x:v>9000</x:v>
      </x:c>
      <x:c r="C7" t="n">
        <x:v>16000</x:v>
      </x:c>
      <x:c r="D7" t="n">
        <x:v>0.055</x:v>
      </x:c>
      <x:c r="E7" t="n">
        <x:f>AVERAGE(B7:C7)</x:f>
        <x:v>12500</x:v>
      </x:c>
      <x:c r="F7" t="n">
        <x:f>MAX(0.05,MIN(0.95,D7+0.25*(1/(1+EXP(-0.11*(0-25))))))</x:f>
        <x:v>0.07002166254350191</x:v>
      </x:c>
      <x:c r="G7" t="n">
        <x:f>MAX(0.05,MIN(0.95,D7+0.25*(1/(1+EXP(-0.11*(25-25))))))</x:f>
        <x:v>0.18</x:v>
      </x:c>
      <x:c r="H7" t="n">
        <x:f>MAX(0.05,MIN(0.95,D7+0.25*(1/(1+EXP(-0.11*(50-25))))))</x:f>
        <x:v>0.2899783374564981</x:v>
      </x:c>
      <x:c r="I7" t="n">
        <x:f>E7*F7</x:f>
        <x:v>875.2707817937738</x:v>
      </x:c>
    </x:row>
    <x:row r="8">
      <x:c r="A8" t="str">
        <x:v>Bureau of Scholarly Ventures</x:v>
      </x:c>
      <x:c r="B8" t="n">
        <x:v>18000</x:v>
      </x:c>
      <x:c r="C8" t="n">
        <x:v>32000</x:v>
      </x:c>
      <x:c r="D8" t="n">
        <x:v>0.032</x:v>
      </x:c>
      <x:c r="E8" t="n">
        <x:f>AVERAGE(B8:C8)</x:f>
        <x:v>25000</x:v>
      </x:c>
      <x:c r="F8" t="n">
        <x:f>MAX(0.05,MIN(0.95,D8+0.25*(1/(1+EXP(-0.11*(0-25))))))</x:f>
        <x:v>0.05</x:v>
      </x:c>
      <x:c r="G8" t="n">
        <x:f>MAX(0.05,MIN(0.95,D8+0.25*(1/(1+EXP(-0.11*(25-25))))))</x:f>
        <x:v>0.157</x:v>
      </x:c>
      <x:c r="H8" t="n">
        <x:f>MAX(0.05,MIN(0.95,D8+0.25*(1/(1+EXP(-0.11*(50-25))))))</x:f>
        <x:v>0.2669783374564981</x:v>
      </x:c>
      <x:c r="I8" t="n">
        <x:f>E8*F8</x:f>
        <x:v>1250</x:v>
      </x:c>
    </x:row>
    <x:row r="9">
      <x:c r="A9" t="str">
        <x:v>The Royal Society of Epistemic Endeavors</x:v>
      </x:c>
      <x:c r="B9" t="n">
        <x:v>35000</x:v>
      </x:c>
      <x:c r="C9" t="n">
        <x:v>55000</x:v>
      </x:c>
      <x:c r="D9" t="n">
        <x:v>0.018</x:v>
      </x:c>
      <x:c r="E9" t="n">
        <x:f>AVERAGE(B9:C9)</x:f>
        <x:v>45000</x:v>
      </x:c>
      <x:c r="F9" t="n">
        <x:f>MAX(0.05,MIN(0.95,D9+0.25*(1/(1+EXP(-0.11*(0-25))))))</x:f>
        <x:v>0.05</x:v>
      </x:c>
      <x:c r="G9" t="n">
        <x:f>MAX(0.05,MIN(0.95,D9+0.25*(1/(1+EXP(-0.11*(25-25))))))</x:f>
        <x:v>0.143</x:v>
      </x:c>
      <x:c r="H9" t="n">
        <x:f>MAX(0.05,MIN(0.95,D9+0.25*(1/(1+EXP(-0.11*(50-25))))))</x:f>
        <x:v>0.2529783374564981</x:v>
      </x:c>
      <x:c r="I9" t="n">
        <x:f>E9*F9</x:f>
        <x:v>2250</x:v>
      </x:c>
    </x:row>
    <x:row r="10">
      <x:c r="A10" t="str">
        <x:v>The Oracular Board of Impactful Grants</x:v>
      </x:c>
      <x:c r="B10" t="n">
        <x:v>65000</x:v>
      </x:c>
      <x:c r="C10" t="n">
        <x:v>85000</x:v>
      </x:c>
      <x:c r="D10" t="n">
        <x:v>0.01</x:v>
      </x:c>
      <x:c r="E10" t="n">
        <x:f>AVERAGE(B10:C10)</x:f>
        <x:v>75000</x:v>
      </x:c>
      <x:c r="F10" t="n">
        <x:f>MAX(0.05,MIN(0.95,D10+0.25*(1/(1+EXP(-0.11*(0-25))))))</x:f>
        <x:v>0.05</x:v>
      </x:c>
      <x:c r="G10" t="n">
        <x:f>MAX(0.05,MIN(0.95,D10+0.25*(1/(1+EXP(-0.11*(25-25))))))</x:f>
        <x:v>0.135</x:v>
      </x:c>
      <x:c r="H10" t="n">
        <x:f>MAX(0.05,MIN(0.95,D10+0.25*(1/(1+EXP(-0.11*(50-25))))))</x:f>
        <x:v>0.2449783374564981</x:v>
      </x:c>
      <x:c r="I10" t="n">
        <x:f>E10*F10</x:f>
        <x:v>3750</x:v>
      </x:c>
    </x:row>
    <x:row r="11">
      <x:c r="A11" t="str">
        <x:v>Infinite Revisions Moonshot Fellowship</x:v>
      </x:c>
      <x:c r="B11" t="n">
        <x:v>90000</x:v>
      </x:c>
      <x:c r="C11" t="n">
        <x:v>110000</x:v>
      </x:c>
      <x:c r="D11" t="n">
        <x:v>0.004</x:v>
      </x:c>
      <x:c r="E11" t="n">
        <x:f>AVERAGE(B11:C11)</x:f>
        <x:v>100000</x:v>
      </x:c>
      <x:c r="F11" t="n">
        <x:f>MAX(0.05,MIN(0.95,D11+0.25*(1/(1+EXP(-0.11*(0-25))))))</x:f>
        <x:v>0.05</x:v>
      </x:c>
      <x:c r="G11" t="n">
        <x:f>MAX(0.05,MIN(0.95,D11+0.25*(1/(1+EXP(-0.11*(25-25))))))</x:f>
        <x:v>0.129</x:v>
      </x:c>
      <x:c r="H11" t="n">
        <x:f>MAX(0.05,MIN(0.95,D11+0.25*(1/(1+EXP(-0.11*(50-25))))))</x:f>
        <x:v>0.2389783374564981</x:v>
      </x:c>
      <x:c r="I11" t="n">
        <x:f>E11*F11</x:f>
        <x:v>5000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Option</x:v>
      </x:c>
      <x:c r="C1" t="str">
        <x:v>Cost</x:v>
      </x:c>
      <x:c r="D1" t="str">
        <x:v>Quality Bonus</x:v>
      </x:c>
      <x:c r="E1" t="str">
        <x:v>Cost per Quality</x:v>
      </x:c>
    </x:row>
    <x:row r="2">
      <x:c r="A2" t="str">
        <x:v>Travel</x:v>
      </x:c>
      <x:c r="B2" t="str">
        <x:v>Nothing</x:v>
      </x:c>
      <x:c r="C2" t="n">
        <x:v>0</x:v>
      </x:c>
      <x:c r="D2" t="n">
        <x:v>0</x:v>
      </x:c>
      <x:c r="E2" t="str">
        <x:f>IF(D2=0,"",C2/D2)</x:f>
      </x:c>
    </x:row>
    <x:row r="3">
      <x:c r="A3" t="str">
        <x:v>Travel</x:v>
      </x:c>
      <x:c r="B3" t="str">
        <x:v>Discount bus tickets</x:v>
      </x:c>
      <x:c r="C3" t="n">
        <x:v>80</x:v>
      </x:c>
      <x:c r="D3" t="n">
        <x:v>1</x:v>
      </x:c>
      <x:c r="E3" t="n">
        <x:f>IF(D3=0,"",C3/D3)</x:f>
        <x:v>80</x:v>
      </x:c>
    </x:row>
    <x:row r="4">
      <x:c r="A4" t="str">
        <x:v>Travel</x:v>
      </x:c>
      <x:c r="B4" t="str">
        <x:v>Economy flights</x:v>
      </x:c>
      <x:c r="C4" t="n">
        <x:v>420</x:v>
      </x:c>
      <x:c r="D4" t="n">
        <x:v>3</x:v>
      </x:c>
      <x:c r="E4" t="n">
        <x:f>IF(D4=0,"",C4/D4)</x:f>
        <x:v>140</x:v>
      </x:c>
    </x:row>
    <x:row r="5">
      <x:c r="A5" t="str">
        <x:v>Travel</x:v>
      </x:c>
      <x:c r="B5" t="str">
        <x:v>Fieldwork travel package</x:v>
      </x:c>
      <x:c r="C5" t="n">
        <x:v>1800</x:v>
      </x:c>
      <x:c r="D5" t="n">
        <x:v>8</x:v>
      </x:c>
      <x:c r="E5" t="n">
        <x:f>IF(D5=0,"",C5/D5)</x:f>
        <x:v>225</x:v>
      </x:c>
    </x:row>
    <x:row r="6">
      <x:c r="A6" t="str">
        <x:v>Travel</x:v>
      </x:c>
      <x:c r="B6" t="str">
        <x:v>International keynote circuit</x:v>
      </x:c>
      <x:c r="C6" t="n">
        <x:v>9500</x:v>
      </x:c>
      <x:c r="D6" t="n">
        <x:v>18</x:v>
      </x:c>
      <x:c r="E6" t="n">
        <x:f>IF(D6=0,"",C6/D6)</x:f>
        <x:v>527.7777777777778</x:v>
      </x:c>
    </x:row>
    <x:row r="7">
      <x:c r="A7" t="str">
        <x:v>Student Stipends</x:v>
      </x:c>
      <x:c r="B7" t="str">
        <x:v>Nothing</x:v>
      </x:c>
      <x:c r="C7" t="n">
        <x:v>0</x:v>
      </x:c>
      <x:c r="D7" t="n">
        <x:v>0</x:v>
      </x:c>
      <x:c r="E7" t="str">
        <x:f>IF(D7=0,"",C7/D7)</x:f>
      </x:c>
    </x:row>
    <x:row r="8">
      <x:c r="A8" t="str">
        <x:v>Student Stipends</x:v>
      </x:c>
      <x:c r="B8" t="str">
        <x:v>Hire one distracted intern</x:v>
      </x:c>
      <x:c r="C8" t="n">
        <x:v>150</x:v>
      </x:c>
      <x:c r="D8" t="n">
        <x:v>2</x:v>
      </x:c>
      <x:c r="E8" t="n">
        <x:f>IF(D8=0,"",C8/D8)</x:f>
        <x:v>75</x:v>
      </x:c>
    </x:row>
    <x:row r="9">
      <x:c r="A9" t="str">
        <x:v>Student Stipends</x:v>
      </x:c>
      <x:c r="B9" t="str">
        <x:v>Graduate assistant for a semester</x:v>
      </x:c>
      <x:c r="C9" t="n">
        <x:v>1400</x:v>
      </x:c>
      <x:c r="D9" t="n">
        <x:v>7</x:v>
      </x:c>
      <x:c r="E9" t="n">
        <x:f>IF(D9=0,"",C9/D9)</x:f>
        <x:v>200</x:v>
      </x:c>
    </x:row>
    <x:row r="10">
      <x:c r="A10" t="str">
        <x:v>Student Stipends</x:v>
      </x:c>
      <x:c r="B10" t="str">
        <x:v>PhD researcher for a year</x:v>
      </x:c>
      <x:c r="C10" t="n">
        <x:v>12000</x:v>
      </x:c>
      <x:c r="D10" t="n">
        <x:v>18</x:v>
      </x:c>
      <x:c r="E10" t="n">
        <x:f>IF(D10=0,"",C10/D10)</x:f>
        <x:v>666.6666666666666</x:v>
      </x:c>
    </x:row>
    <x:row r="11">
      <x:c r="A11" t="str">
        <x:v>Student Stipends</x:v>
      </x:c>
      <x:c r="B11" t="str">
        <x:v>Elite postdoc strike team</x:v>
      </x:c>
      <x:c r="C11" t="n">
        <x:v>65000</x:v>
      </x:c>
      <x:c r="D11" t="n">
        <x:v>45</x:v>
      </x:c>
      <x:c r="E11" t="n">
        <x:f>IF(D11=0,"",C11/D11)</x:f>
        <x:v>1444.4444444444443</x:v>
      </x:c>
    </x:row>
    <x:row r="12">
      <x:c r="A12" t="str">
        <x:v>Lab Equipment</x:v>
      </x:c>
      <x:c r="B12" t="str">
        <x:v>Nothing</x:v>
      </x:c>
      <x:c r="C12" t="n">
        <x:v>0</x:v>
      </x:c>
      <x:c r="D12" t="n">
        <x:v>0</x:v>
      </x:c>
      <x:c r="E12" t="str">
        <x:f>IF(D12=0,"",C12/D12)</x:f>
      </x:c>
    </x:row>
    <x:row r="13">
      <x:c r="A13" t="str">
        <x:v>Lab Equipment</x:v>
      </x:c>
      <x:c r="B13" t="str">
        <x:v>Basic instruments</x:v>
      </x:c>
      <x:c r="C13" t="n">
        <x:v>250</x:v>
      </x:c>
      <x:c r="D13" t="n">
        <x:v>2</x:v>
      </x:c>
      <x:c r="E13" t="n">
        <x:f>IF(D13=0,"",C13/D13)</x:f>
        <x:v>125</x:v>
      </x:c>
    </x:row>
    <x:row r="14">
      <x:c r="A14" t="str">
        <x:v>Lab Equipment</x:v>
      </x:c>
      <x:c r="B14" t="str">
        <x:v>Reliable lab setup</x:v>
      </x:c>
      <x:c r="C14" t="n">
        <x:v>2800</x:v>
      </x:c>
      <x:c r="D14" t="n">
        <x:v>9</x:v>
      </x:c>
      <x:c r="E14" t="n">
        <x:f>IF(D14=0,"",C14/D14)</x:f>
        <x:v>311.1111111111111</x:v>
      </x:c>
    </x:row>
    <x:row r="15">
      <x:c r="A15" t="str">
        <x:v>Lab Equipment</x:v>
      </x:c>
      <x:c r="B15" t="str">
        <x:v>Advanced machinery</x:v>
      </x:c>
      <x:c r="C15" t="n">
        <x:v>22000</x:v>
      </x:c>
      <x:c r="D15" t="n">
        <x:v>28</x:v>
      </x:c>
      <x:c r="E15" t="n">
        <x:f>IF(D15=0,"",C15/D15)</x:f>
        <x:v>785.7142857142857</x:v>
      </x:c>
    </x:row>
    <x:row r="16">
      <x:c r="A16" t="str">
        <x:v>Lab Equipment</x:v>
      </x:c>
      <x:c r="B16" t="str">
        <x:v>State-of-the-art facility access</x:v>
      </x:c>
      <x:c r="C16" t="n">
        <x:v>95000</x:v>
      </x:c>
      <x:c r="D16" t="n">
        <x:v>60</x:v>
      </x:c>
      <x:c r="E16" t="n">
        <x:f>IF(D16=0,"",C16/D16)</x:f>
        <x:v>1583.3333333333333</x:v>
      </x:c>
    </x:row>
    <x:row r="17">
      <x:c r="A17" t="str">
        <x:v>Conference Attendance</x:v>
      </x:c>
      <x:c r="B17" t="str">
        <x:v>Nothing</x:v>
      </x:c>
      <x:c r="C17" t="n">
        <x:v>0</x:v>
      </x:c>
      <x:c r="D17" t="n">
        <x:v>0</x:v>
      </x:c>
      <x:c r="E17" t="str">
        <x:f>IF(D17=0,"",C17/D17)</x:f>
      </x:c>
    </x:row>
    <x:row r="18">
      <x:c r="A18" t="str">
        <x:v>Conference Attendance</x:v>
      </x:c>
      <x:c r="B18" t="str">
        <x:v>Local symposium</x:v>
      </x:c>
      <x:c r="C18" t="n">
        <x:v>120</x:v>
      </x:c>
      <x:c r="D18" t="n">
        <x:v>1</x:v>
      </x:c>
      <x:c r="E18" t="n">
        <x:f>IF(D18=0,"",C18/D18)</x:f>
        <x:v>120</x:v>
      </x:c>
    </x:row>
    <x:row r="19">
      <x:c r="A19" t="str">
        <x:v>Conference Attendance</x:v>
      </x:c>
      <x:c r="B19" t="str">
        <x:v>National conference</x:v>
      </x:c>
      <x:c r="C19" t="n">
        <x:v>900</x:v>
      </x:c>
      <x:c r="D19" t="n">
        <x:v>4</x:v>
      </x:c>
      <x:c r="E19" t="n">
        <x:f>IF(D19=0,"",C19/D19)</x:f>
        <x:v>225</x:v>
      </x:c>
    </x:row>
    <x:row r="20">
      <x:c r="A20" t="str">
        <x:v>Conference Attendance</x:v>
      </x:c>
      <x:c r="B20" t="str">
        <x:v>International conference</x:v>
      </x:c>
      <x:c r="C20" t="n">
        <x:v>3500</x:v>
      </x:c>
      <x:c r="D20" t="n">
        <x:v>10</x:v>
      </x:c>
      <x:c r="E20" t="n">
        <x:f>IF(D20=0,"",C20/D20)</x:f>
        <x:v>350</x:v>
      </x:c>
    </x:row>
    <x:row r="21">
      <x:c r="A21" t="str">
        <x:v>Conference Attendance</x:v>
      </x:c>
      <x:c r="B21" t="str">
        <x:v>Prestige keynote tour</x:v>
      </x:c>
      <x:c r="C21" t="n">
        <x:v>18000</x:v>
      </x:c>
      <x:c r="D21" t="n">
        <x:v>24</x:v>
      </x:c>
      <x:c r="E21" t="n">
        <x:f>IF(D21=0,"",C21/D21)</x:f>
        <x:v>750</x:v>
      </x:c>
    </x:row>
    <x:row r="22">
      <x:c r="A22" t="str">
        <x:v>Outsourced Data Analysis</x:v>
      </x:c>
      <x:c r="B22" t="str">
        <x:v>Nothing</x:v>
      </x:c>
      <x:c r="C22" t="n">
        <x:v>0</x:v>
      </x:c>
      <x:c r="D22" t="n">
        <x:v>0</x:v>
      </x:c>
      <x:c r="E22" t="str">
        <x:f>IF(D22=0,"",C22/D22)</x:f>
      </x:c>
    </x:row>
    <x:row r="23">
      <x:c r="A23" t="str">
        <x:v>Outsourced Data Analysis</x:v>
      </x:c>
      <x:c r="B23" t="str">
        <x:v>Undergraduate spreadsheet wrangler</x:v>
      </x:c>
      <x:c r="C23" t="n">
        <x:v>100</x:v>
      </x:c>
      <x:c r="D23" t="n">
        <x:v>1</x:v>
      </x:c>
      <x:c r="E23" t="n">
        <x:f>IF(D23=0,"",C23/D23)</x:f>
        <x:v>100</x:v>
      </x:c>
    </x:row>
    <x:row r="24">
      <x:c r="A24" t="str">
        <x:v>Outsourced Data Analysis</x:v>
      </x:c>
      <x:c r="B24" t="str">
        <x:v>Freelance statistician</x:v>
      </x:c>
      <x:c r="C24" t="n">
        <x:v>1200</x:v>
      </x:c>
      <x:c r="D24" t="n">
        <x:v>6</x:v>
      </x:c>
      <x:c r="E24" t="n">
        <x:f>IF(D24=0,"",C24/D24)</x:f>
        <x:v>200</x:v>
      </x:c>
    </x:row>
    <x:row r="25">
      <x:c r="A25" t="str">
        <x:v>Outsourced Data Analysis</x:v>
      </x:c>
      <x:c r="B25" t="str">
        <x:v>Professional data scientist</x:v>
      </x:c>
      <x:c r="C25" t="n">
        <x:v>8500</x:v>
      </x:c>
      <x:c r="D25" t="n">
        <x:v>18</x:v>
      </x:c>
      <x:c r="E25" t="n">
        <x:f>IF(D25=0,"",C25/D25)</x:f>
        <x:v>472.22222222222223</x:v>
      </x:c>
    </x:row>
    <x:row r="26">
      <x:c r="A26" t="str">
        <x:v>Outsourced Data Analysis</x:v>
      </x:c>
      <x:c r="B26" t="str">
        <x:v>Renowned analytics firm</x:v>
      </x:c>
      <x:c r="C26" t="n">
        <x:v>48000</x:v>
      </x:c>
      <x:c r="D26" t="n">
        <x:v>42</x:v>
      </x:c>
      <x:c r="E26" t="n">
        <x:f>IF(D26=0,"",C26/D26)</x:f>
        <x:v>1142.857142857143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Journal Tier</x:v>
      </x:c>
      <x:c r="B1" t="str">
        <x:v>Prestige</x:v>
      </x:c>
      <x:c r="C1" t="str">
        <x:v>Base Threshold</x:v>
      </x:c>
      <x:c r="D1" t="str">
        <x:v>First Accept Quality</x:v>
      </x:c>
      <x:c r="E1" t="str">
        <x:v>Revision Band Low</x:v>
      </x:c>
      <x:c r="F1" t="str">
        <x:v>Revision Band High</x:v>
      </x:c>
    </x:row>
    <x:row r="2">
      <x:c r="A2" t="str">
        <x:v>Proceedings of Preliminary Research</x:v>
      </x:c>
      <x:c r="B2" t="n">
        <x:v>1</x:v>
      </x:c>
      <x:c r="C2" t="n">
        <x:v>50</x:v>
      </x:c>
      <x:c r="D2" t="n">
        <x:f>C2+10</x:f>
        <x:v>60</x:v>
      </x:c>
      <x:c r="E2" t="n">
        <x:f>C2-15</x:f>
        <x:v>35</x:v>
      </x:c>
      <x:c r="F2" t="n">
        <x:f>C2+9</x:f>
        <x:v>59</x:v>
      </x:c>
    </x:row>
    <x:row r="3">
      <x:c r="A3" t="str">
        <x:v>Regional Letters</x:v>
      </x:c>
      <x:c r="B3" t="n">
        <x:v>2</x:v>
      </x:c>
      <x:c r="C3" t="n">
        <x:v>68</x:v>
      </x:c>
      <x:c r="D3" t="n">
        <x:f>C3+10</x:f>
        <x:v>78</x:v>
      </x:c>
      <x:c r="E3" t="n">
        <x:f>C3-15</x:f>
        <x:v>53</x:v>
      </x:c>
      <x:c r="F3" t="n">
        <x:f>C3+9</x:f>
        <x:v>77</x:v>
      </x:c>
    </x:row>
    <x:row r="4">
      <x:c r="A4" t="str">
        <x:v>Annals of Applied Research</x:v>
      </x:c>
      <x:c r="B4" t="n">
        <x:v>3</x:v>
      </x:c>
      <x:c r="C4" t="n">
        <x:v>84</x:v>
      </x:c>
      <x:c r="D4" t="n">
        <x:f>C4+10</x:f>
        <x:v>94</x:v>
      </x:c>
      <x:c r="E4" t="n">
        <x:f>C4-15</x:f>
        <x:v>69</x:v>
      </x:c>
      <x:c r="F4" t="n">
        <x:f>C4+9</x:f>
        <x:v>93</x:v>
      </x:c>
    </x:row>
    <x:row r="5">
      <x:c r="A5" t="str">
        <x:v>Journal of Emerging Studies</x:v>
      </x:c>
      <x:c r="B5" t="n">
        <x:v>4</x:v>
      </x:c>
      <x:c r="C5" t="n">
        <x:v>102</x:v>
      </x:c>
      <x:c r="D5" t="n">
        <x:f>C5+10</x:f>
        <x:v>112</x:v>
      </x:c>
      <x:c r="E5" t="n">
        <x:f>C5-15</x:f>
        <x:v>87</x:v>
      </x:c>
      <x:c r="F5" t="n">
        <x:f>C5+9</x:f>
        <x:v>111</x:v>
      </x:c>
    </x:row>
    <x:row r="6">
      <x:c r="A6" t="str">
        <x:v>Transactions</x:v>
      </x:c>
      <x:c r="B6" t="n">
        <x:v>5</x:v>
      </x:c>
      <x:c r="C6" t="n">
        <x:v>122</x:v>
      </x:c>
      <x:c r="D6" t="n">
        <x:f>C6+10</x:f>
        <x:v>132</x:v>
      </x:c>
      <x:c r="E6" t="n">
        <x:f>C6-15</x:f>
        <x:v>107</x:v>
      </x:c>
      <x:c r="F6" t="n">
        <x:f>C6+9</x:f>
        <x:v>131</x:v>
      </x:c>
    </x:row>
    <x:row r="7">
      <x:c r="A7" t="str">
        <x:v>International Review</x:v>
      </x:c>
      <x:c r="B7" t="n">
        <x:v>6</x:v>
      </x:c>
      <x:c r="C7" t="n">
        <x:v>146</x:v>
      </x:c>
      <x:c r="D7" t="n">
        <x:f>C7+10</x:f>
        <x:v>156</x:v>
      </x:c>
      <x:c r="E7" t="n">
        <x:f>C7-15</x:f>
        <x:v>131</x:v>
      </x:c>
      <x:c r="F7" t="n">
        <x:f>C7+9</x:f>
        <x:v>155</x:v>
      </x:c>
    </x:row>
    <x:row r="8">
      <x:c r="A8" t="str">
        <x:v>Advanced Studies</x:v>
      </x:c>
      <x:c r="B8" t="n">
        <x:v>7</x:v>
      </x:c>
      <x:c r="C8" t="n">
        <x:v>172</x:v>
      </x:c>
      <x:c r="D8" t="n">
        <x:f>C8+10</x:f>
        <x:v>182</x:v>
      </x:c>
      <x:c r="E8" t="n">
        <x:f>C8-15</x:f>
        <x:v>157</x:v>
      </x:c>
      <x:c r="F8" t="n">
        <x:f>C8+9</x:f>
        <x:v>181</x:v>
      </x:c>
    </x:row>
    <x:row r="9">
      <x:c r="A9" t="str">
        <x:v>Frontiers of Theory</x:v>
      </x:c>
      <x:c r="B9" t="n">
        <x:v>8</x:v>
      </x:c>
      <x:c r="C9" t="n">
        <x:v>205</x:v>
      </x:c>
      <x:c r="D9" t="n">
        <x:f>C9+10</x:f>
        <x:v>215</x:v>
      </x:c>
      <x:c r="E9" t="n">
        <x:f>C9-15</x:f>
        <x:v>190</x:v>
      </x:c>
      <x:c r="F9" t="n">
        <x:f>C9+9</x:f>
        <x:v>214</x:v>
      </x:c>
    </x:row>
    <x:row r="10">
      <x:c r="A10" t="str">
        <x:v>Nature Reviews</x:v>
      </x:c>
      <x:c r="B10" t="n">
        <x:v>9</x:v>
      </x:c>
      <x:c r="C10" t="n">
        <x:v>240</x:v>
      </x:c>
      <x:c r="D10" t="n">
        <x:f>C10+10</x:f>
        <x:v>250</x:v>
      </x:c>
      <x:c r="E10" t="n">
        <x:f>C10-15</x:f>
        <x:v>225</x:v>
      </x:c>
      <x:c r="F10" t="n">
        <x:f>C10+9</x:f>
        <x:v>249</x:v>
      </x:c>
    </x:row>
    <x:row r="11">
      <x:c r="A11" t="str">
        <x:v>Annals of Transformative Research</x:v>
      </x:c>
      <x:c r="B11" t="n">
        <x:v>10</x:v>
      </x:c>
      <x:c r="C11" t="n">
        <x:v>285</x:v>
      </x:c>
      <x:c r="D11" t="n">
        <x:f>C11+10</x:f>
        <x:v>295</x:v>
      </x:c>
      <x:c r="E11" t="n">
        <x:f>C11-15</x:f>
        <x:v>270</x:v>
      </x:c>
      <x:c r="F11" t="n">
        <x:f>C11+9</x:f>
        <x:v>294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t="str">
        <x:v>Paper Initialization and Event Impact</x:v>
      </x:c>
      <x:c r="B1"/>
      <x:c r="C1"/>
      <x:c r="D1"/>
      <x:c r="E1"/>
      <x:c r="F1"/>
    </x:row>
    <x:row r="3">
      <x:c r="A3" t="str">
        <x:v>Base constant</x:v>
      </x:c>
      <x:c r="B3" t="n">
        <x:v>58</x:v>
      </x:c>
      <x:c r="D3" t="str">
        <x:v>Research Event</x:v>
      </x:c>
      <x:c r="E3" t="str">
        <x:v>Quality Change</x:v>
      </x:c>
    </x:row>
    <x:row r="4">
      <x:c r="A4" t="str">
        <x:v>XP multiplier</x:v>
      </x:c>
      <x:c r="B4" t="n">
        <x:v>7</x:v>
      </x:c>
      <x:c r="D4" t="str">
        <x:v>Experiments are not going well</x:v>
      </x:c>
      <x:c r="E4" t="n">
        <x:v>-8</x:v>
      </x:c>
    </x:row>
    <x:row r="5">
      <x:c r="A5" t="str">
        <x:v>Novelty multiplier</x:v>
      </x:c>
      <x:c r="B5" t="n">
        <x:v>24</x:v>
      </x:c>
      <x:c r="D5" t="str">
        <x:v>Collaborator meeting sharpens argument</x:v>
      </x:c>
      <x:c r="E5" t="n">
        <x:v>7</x:v>
      </x:c>
    </x:row>
    <x:row r="6">
      <x:c r="A6" t="str">
        <x:v>Volatility min</x:v>
      </x:c>
      <x:c r="B6" t="n">
        <x:v>-18</x:v>
      </x:c>
      <x:c r="D6" t="str">
        <x:v>Dataset is flawed</x:v>
      </x:c>
      <x:c r="E6" t="n">
        <x:v>-14</x:v>
      </x:c>
    </x:row>
    <x:row r="7">
      <x:c r="A7" t="str">
        <x:v>Volatility max</x:v>
      </x:c>
      <x:c r="B7" t="n">
        <x:v>18</x:v>
      </x:c>
      <x:c r="D7" t="str">
        <x:v>Model breakthrough</x:v>
      </x:c>
      <x:c r="E7" t="n">
        <x:v>16</x:v>
      </x:c>
    </x:row>
    <x:row r="8">
      <x:c r="A8" t="str">
        <x:v>Events per paper</x:v>
      </x:c>
      <x:c r="B8" t="n">
        <x:v>6</x:v>
      </x:c>
      <x:c r="D8" t="str">
        <x:v>Rival group publishes similar results</x:v>
      </x:c>
      <x:c r="E8" t="n">
        <x:v>-12</x:v>
      </x:c>
    </x:row>
    <x:row r="9">
      <x:c r="D9" t="str">
        <x:v>Conference conversation helps</x:v>
      </x:c>
      <x:c r="E9" t="n">
        <x:v>5</x:v>
      </x:c>
    </x:row>
    <x:row r="10">
      <x:c r="D10" t="str">
        <x:v>Mysterious bug</x:v>
      </x:c>
      <x:c r="E10" t="n">
        <x:v>-6</x:v>
      </x:c>
    </x:row>
    <x:row r="11">
      <x:c r="A11" t="str">
        <x:v>Expected event change</x:v>
      </x:c>
      <x:c r="B11" t="n">
        <x:f>AVERAGE(E4:E14)</x:f>
        <x:v>-0.5454545454545454</x:v>
      </x:c>
      <x:c r="D11" t="str">
        <x:v>Replication check succeeds</x:v>
      </x:c>
      <x:c r="E11" t="n">
        <x:v>10</x:v>
      </x:c>
    </x:row>
    <x:row r="12">
      <x:c r="A12" t="str">
        <x:v>Min single event</x:v>
      </x:c>
      <x:c r="B12" t="n">
        <x:f>MIN(E4:E14)</x:f>
        <x:v>-18</x:v>
      </x:c>
      <x:c r="D12" t="str">
        <x:v>Central assumption collapses</x:v>
      </x:c>
      <x:c r="E12" t="n">
        <x:v>-18</x:v>
      </x:c>
    </x:row>
    <x:row r="13">
      <x:c r="A13" t="str">
        <x:v>Max single event</x:v>
      </x:c>
      <x:c r="B13" t="n">
        <x:f>MAX(E4:E14)</x:f>
        <x:v>16</x:v>
      </x:c>
      <x:c r="D13" t="str">
        <x:v>Elegant theorem appears</x:v>
      </x:c>
      <x:c r="E13" t="n">
        <x:v>14</x:v>
      </x:c>
    </x:row>
    <x:row r="14">
      <x:c r="A14" t="str">
        <x:v>Expected total event change</x:v>
      </x:c>
      <x:c r="B14" t="n">
        <x:f>B11*B8</x:f>
        <x:v>-3.2727272727272725</x:v>
      </x:c>
      <x:c r="D14" t="str">
        <x:v>Nothing happens</x:v>
      </x:c>
      <x:c r="E14" t="n">
        <x:v>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t="str">
        <x:v>Vanity Item</x:v>
      </x:c>
      <x:c r="B1" t="str">
        <x:v>Citation Cost</x:v>
      </x:c>
    </x:row>
    <x:row r="2">
      <x:c r="A2" t="str">
        <x:v>Department mug with your name</x:v>
      </x:c>
      <x:c r="B2" t="n">
        <x:v>15</x:v>
      </x:c>
    </x:row>
    <x:row r="3">
      <x:c r="A3" t="str">
        <x:v>Personalized office door plaque</x:v>
      </x:c>
      <x:c r="B3" t="n">
        <x:v>35</x:v>
      </x:c>
    </x:row>
    <x:row r="4">
      <x:c r="A4" t="str">
        <x:v>Framed conference badge collection</x:v>
      </x:c>
      <x:c r="B4" t="n">
        <x:v>60</x:v>
      </x:c>
    </x:row>
    <x:row r="5">
      <x:c r="A5" t="str">
        <x:v>Membership in a prestigious society</x:v>
      </x:c>
      <x:c r="B5" t="n">
        <x:v>100</x:v>
      </x:c>
    </x:row>
    <x:row r="6">
      <x:c r="A6" t="str">
        <x:v>Named graduate reading group</x:v>
      </x:c>
      <x:c r="B6" t="n">
        <x:v>180</x:v>
      </x:c>
    </x:row>
    <x:row r="7">
      <x:c r="A7" t="str">
        <x:v>Minor editorial board seat</x:v>
      </x:c>
      <x:c r="B7" t="n">
        <x:v>300</x:v>
      </x:c>
    </x:row>
    <x:row r="8">
      <x:c r="A8" t="str">
        <x:v>Endowed seminar series named after you</x:v>
      </x:c>
      <x:c r="B8" t="n">
        <x:v>650</x:v>
      </x:c>
    </x:row>
    <x:row r="9">
      <x:c r="A9" t="str">
        <x:v>Lecture hall named after you</x:v>
      </x:c>
      <x:c r="B9" t="n">
        <x:v>1200</x:v>
      </x:c>
    </x:row>
    <x:row r="10">
      <x:c r="A10" t="str">
        <x:v>National academy fellowship</x:v>
      </x:c>
      <x:c r="B10" t="n">
        <x:v>2200</x:v>
      </x:c>
    </x:row>
    <x:row r="11">
      <x:c r="A11" t="str">
        <x:v>Bronze statue outside the library</x:v>
      </x:c>
      <x:c r="B11" t="n">
        <x:v>4000</x:v>
      </x:c>
    </x:row>
    <x:row r="12">
      <x:c r="A12" t="str">
        <x:v>International prize with confusing acronym</x:v>
      </x:c>
      <x:c r="B12" t="n">
        <x:v>7000</x:v>
      </x:c>
    </x:row>
    <x:row r="13">
      <x:c r="A13" t="str">
        <x:v>Lifetime chair of everything</x:v>
      </x:c>
      <x:c r="B13" t="n">
        <x:v>12000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sheetData>
    <x:row r="1">
      <x:c r="A1" t="str">
        <x:v>Career and Promotion Parameters</x:v>
      </x:c>
      <x:c r="B1"/>
      <x:c r="C1"/>
      <x:c r="D1"/>
    </x:row>
    <x:row r="3">
      <x:c r="A3" t="str">
        <x:v>Parameter</x:v>
      </x:c>
      <x:c r="B3" t="str">
        <x:v>Value</x:v>
      </x:c>
      <x:c r="C3" t="str">
        <x:v>Notes</x:v>
      </x:c>
      <x:c r="D3" t="str">
        <x:v>Current concern</x:v>
      </x:c>
    </x:row>
    <x:row r="4">
      <x:c r="A4" t="str">
        <x:v>Career length</x:v>
      </x:c>
      <x:c r="B4" t="n">
        <x:v>40</x:v>
      </x:c>
      <x:c r="C4" t="str">
        <x:v>Years per full playthrough</x:v>
      </x:c>
      <x:c r="D4" t="str"/>
    </x:row>
    <x:row r="5">
      <x:c r="A5" t="str">
        <x:v>Associate reputation threshold</x:v>
      </x:c>
      <x:c r="B5" t="n">
        <x:v>10</x:v>
      </x:c>
      <x:c r="C5" t="str">
        <x:v>Promotion offer appears at start of year</x:v>
      </x:c>
      <x:c r="D5" t="str">
        <x:v>Likely low</x:v>
      </x:c>
    </x:row>
    <x:row r="6">
      <x:c r="A6" t="str">
        <x:v>Full professor reputation threshold</x:v>
      </x:c>
      <x:c r="B6" t="n">
        <x:v>25</x:v>
      </x:c>
      <x:c r="C6" t="str">
        <x:v>Promotion offer appears at start of year</x:v>
      </x:c>
      <x:c r="D6" t="str">
        <x:v>Likely low</x:v>
      </x:c>
    </x:row>
    <x:row r="7">
      <x:c r="A7" t="str">
        <x:v>Promotion success chance</x:v>
      </x:c>
      <x:c r="B7" t="n">
        <x:v>0.25</x:v>
      </x:c>
      <x:c r="C7" t="str">
        <x:v>Independent chance per application</x:v>
      </x:c>
      <x:c r="D7" t="str"/>
    </x:row>
    <x:row r="8">
      <x:c r="A8" t="str">
        <x:v>Associate paper quality bonus</x:v>
      </x:c>
      <x:c r="B8" t="n">
        <x:v>16</x:v>
      </x:c>
      <x:c r="C8" t="str">
        <x:v>Rank bonus added at initialization</x:v>
      </x:c>
      <x:c r="D8" t="str">
        <x:v>Runaway risk</x:v>
      </x:c>
    </x:row>
    <x:row r="10">
      <x:c r="A10" t="str">
        <x:v>Rank</x:v>
      </x:c>
      <x:c r="B10" t="str">
        <x:v>Quality Bonus</x:v>
      </x:c>
      <x:c r="C10" t="str">
        <x:v>Required Reputation</x:v>
      </x:c>
      <x:c r="D10" t="str">
        <x:v>Application Chance</x:v>
      </x:c>
    </x:row>
    <x:row r="11">
      <x:c r="A11" t="str">
        <x:v>Assistant Professor</x:v>
      </x:c>
      <x:c r="B11" t="n">
        <x:v>0</x:v>
      </x:c>
      <x:c r="C11" t="n">
        <x:v>0</x:v>
      </x:c>
      <x:c r="D11" t="str"/>
    </x:row>
    <x:row r="12">
      <x:c r="A12" t="str">
        <x:v>Associate Professor</x:v>
      </x:c>
      <x:c r="B12" t="n">
        <x:v>16</x:v>
      </x:c>
      <x:c r="C12" t="n">
        <x:v>10</x:v>
      </x:c>
      <x:c r="D12" t="n">
        <x:v>0.25</x:v>
      </x:c>
    </x:row>
    <x:row r="13">
      <x:c r="A13" t="str">
        <x:v>Full Professor</x:v>
      </x:c>
      <x:c r="B13" t="n">
        <x:v>36</x:v>
      </x:c>
      <x:c r="C13" t="n">
        <x:v>25</x:v>
      </x:c>
      <x:c r="D13" t="n">
        <x:v>0.25</x:v>
      </x:c>
    </x:row>
  </x:sheetData>
  <x:pageMargins left="0.7" right="0.7" top="0.75" bottom="0.75" header="0.3" footer="0.3"/>
</x:worksheet>
</file>