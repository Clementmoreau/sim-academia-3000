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user/Library/Mobile Documents/com~apple~CloudDocs/Divers/Game/outputs/"/>
    </mc:Choice>
  </mc:AlternateContent>
  <xr:revisionPtr revIDLastSave="0" documentId="13_ncr:1_{D5DD00E2-6491-484B-9FAF-86F40477DCEB}" xr6:coauthVersionLast="47" xr6:coauthVersionMax="47" xr10:uidLastSave="{00000000-0000-0000-0000-000000000000}"/>
  <bookViews>
    <workbookView xWindow="0" yWindow="660" windowWidth="30240" windowHeight="17400" activeTab="2" xr2:uid="{00000000-000D-0000-FFFF-FFFF00000000}"/>
  </bookViews>
  <sheets>
    <sheet name="Dashboard" sheetId="1" r:id="rId1"/>
    <sheet name="Funders" sheetId="2" r:id="rId2"/>
    <sheet name="Allocations" sheetId="3" r:id="rId3"/>
    <sheet name="Journals" sheetId="4" r:id="rId4"/>
    <sheet name="Paper Quality" sheetId="5" r:id="rId5"/>
    <sheet name="Vanity" sheetId="6" r:id="rId6"/>
    <sheet name="Caree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B12" i="5"/>
  <c r="B11" i="5"/>
  <c r="B14" i="5" s="1"/>
  <c r="F11" i="4"/>
  <c r="E11" i="4"/>
  <c r="D11" i="4"/>
  <c r="F10" i="4"/>
  <c r="E10" i="4"/>
  <c r="D10" i="4"/>
  <c r="F9" i="4"/>
  <c r="E9" i="4"/>
  <c r="D9" i="4"/>
  <c r="F8" i="4"/>
  <c r="E8" i="4"/>
  <c r="D8" i="4"/>
  <c r="F7" i="4"/>
  <c r="E7" i="4"/>
  <c r="D7" i="4"/>
  <c r="F6" i="4"/>
  <c r="E6" i="4"/>
  <c r="D6" i="4"/>
  <c r="F5" i="4"/>
  <c r="E5" i="4"/>
  <c r="D5" i="4"/>
  <c r="F4" i="4"/>
  <c r="E4" i="4"/>
  <c r="D4" i="4"/>
  <c r="F3" i="4"/>
  <c r="E3" i="4"/>
  <c r="D3" i="4"/>
  <c r="F2" i="4"/>
  <c r="E2" i="4"/>
  <c r="D2" i="4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H11" i="2"/>
  <c r="G11" i="2"/>
  <c r="F11" i="2"/>
  <c r="E11" i="2"/>
  <c r="I11" i="2" s="1"/>
  <c r="H10" i="2"/>
  <c r="G10" i="2"/>
  <c r="F10" i="2"/>
  <c r="E10" i="2"/>
  <c r="I10" i="2" s="1"/>
  <c r="I9" i="2"/>
  <c r="H9" i="2"/>
  <c r="G9" i="2"/>
  <c r="F9" i="2"/>
  <c r="E9" i="2"/>
  <c r="H8" i="2"/>
  <c r="G8" i="2"/>
  <c r="F8" i="2"/>
  <c r="E8" i="2"/>
  <c r="I8" i="2" s="1"/>
  <c r="H7" i="2"/>
  <c r="G7" i="2"/>
  <c r="F7" i="2"/>
  <c r="E7" i="2"/>
  <c r="I7" i="2" s="1"/>
  <c r="H6" i="2"/>
  <c r="G6" i="2"/>
  <c r="F6" i="2"/>
  <c r="E6" i="2"/>
  <c r="I6" i="2" s="1"/>
  <c r="H5" i="2"/>
  <c r="G5" i="2"/>
  <c r="F5" i="2"/>
  <c r="E5" i="2"/>
  <c r="I5" i="2" s="1"/>
  <c r="H4" i="2"/>
  <c r="G4" i="2"/>
  <c r="F4" i="2"/>
  <c r="I4" i="2" s="1"/>
  <c r="E4" i="2"/>
  <c r="H3" i="2"/>
  <c r="G3" i="2"/>
  <c r="F3" i="2"/>
  <c r="E3" i="2"/>
  <c r="I3" i="2" s="1"/>
  <c r="H2" i="2"/>
  <c r="G2" i="2"/>
  <c r="F2" i="2"/>
  <c r="E2" i="2"/>
  <c r="I2" i="2" s="1"/>
  <c r="B9" i="1"/>
  <c r="G12" i="1" s="1"/>
  <c r="H12" i="1" s="1"/>
  <c r="G6" i="1"/>
  <c r="H6" i="1" s="1"/>
  <c r="G13" i="1" l="1"/>
  <c r="H13" i="1" s="1"/>
  <c r="G8" i="1"/>
  <c r="H8" i="1" s="1"/>
  <c r="G10" i="1"/>
  <c r="H10" i="1" s="1"/>
  <c r="G4" i="1"/>
  <c r="H4" i="1" s="1"/>
  <c r="G11" i="1"/>
  <c r="H11" i="1" s="1"/>
  <c r="G7" i="1"/>
  <c r="H7" i="1" s="1"/>
  <c r="G9" i="1"/>
  <c r="H9" i="1" s="1"/>
  <c r="G5" i="1"/>
  <c r="H5" i="1" s="1"/>
</calcChain>
</file>

<file path=xl/sharedStrings.xml><?xml version="1.0" encoding="utf-8"?>
<sst xmlns="http://schemas.openxmlformats.org/spreadsheetml/2006/main" count="177" uniqueCount="138">
  <si>
    <t>Sim Academia 3000 Balance Model</t>
  </si>
  <si>
    <t>Input</t>
  </si>
  <si>
    <t>Value</t>
  </si>
  <si>
    <t>Journal</t>
  </si>
  <si>
    <t>Prestige</t>
  </si>
  <si>
    <t>Threshold</t>
  </si>
  <si>
    <t>Delta</t>
  </si>
  <si>
    <t>First Decision</t>
  </si>
  <si>
    <t>Reputation</t>
  </si>
  <si>
    <t>Proceedings of Preliminary Research</t>
  </si>
  <si>
    <t>Experience</t>
  </si>
  <si>
    <t>Regional Letters</t>
  </si>
  <si>
    <t>Allocation bonus</t>
  </si>
  <si>
    <t>Annals of Applied Research</t>
  </si>
  <si>
    <t>Paper novelty</t>
  </si>
  <si>
    <t>Journal of Emerging Studies</t>
  </si>
  <si>
    <t>Paper volatility</t>
  </si>
  <si>
    <t>Transactions</t>
  </si>
  <si>
    <t>Paper quality</t>
  </si>
  <si>
    <t>International Review</t>
  </si>
  <si>
    <t>Advanced Studies</t>
  </si>
  <si>
    <t>Frontiers of Theory</t>
  </si>
  <si>
    <t>Nature Reviews</t>
  </si>
  <si>
    <t>Annals of Transformative Research</t>
  </si>
  <si>
    <t>Funder</t>
  </si>
  <si>
    <t>Min Grant</t>
  </si>
  <si>
    <t>Max Grant</t>
  </si>
  <si>
    <t>Base Chance</t>
  </si>
  <si>
    <t>Avg Grant</t>
  </si>
  <si>
    <t>Chance @ Rep 0</t>
  </si>
  <si>
    <t>Chance @ Rep 25</t>
  </si>
  <si>
    <t>Chance @ Rep 50</t>
  </si>
  <si>
    <t>Expected Value @ Rep 0</t>
  </si>
  <si>
    <t>Departmental Coffee-Ring Seed Fund</t>
  </si>
  <si>
    <t>Local Symposium Microgrant</t>
  </si>
  <si>
    <t>Campus Interdisciplinary Initiative</t>
  </si>
  <si>
    <t>Society for Incremental Discoveries</t>
  </si>
  <si>
    <t>Institute for Avant-Garde Research</t>
  </si>
  <si>
    <t>Mysterious Reviewer #2 Endowment</t>
  </si>
  <si>
    <t>Bureau of Scholarly Ventures</t>
  </si>
  <si>
    <t>The Royal Society of Epistemic Endeavors</t>
  </si>
  <si>
    <t>The Oracular Board of Impactful Grants</t>
  </si>
  <si>
    <t>Infinite Revisions Moonshot Fellowship</t>
  </si>
  <si>
    <t>Category</t>
  </si>
  <si>
    <t>Option</t>
  </si>
  <si>
    <t>Cost</t>
  </si>
  <si>
    <t>Quality Bonus</t>
  </si>
  <si>
    <t>Cost per Quality</t>
  </si>
  <si>
    <t>Travel</t>
  </si>
  <si>
    <t>Nothing</t>
  </si>
  <si>
    <t>Discount bus tickets</t>
  </si>
  <si>
    <t>Economy flights</t>
  </si>
  <si>
    <t>Fieldwork travel package</t>
  </si>
  <si>
    <t>International keynote circuit</t>
  </si>
  <si>
    <t>Student Stipends</t>
  </si>
  <si>
    <t>Hire one distracted intern</t>
  </si>
  <si>
    <t>Graduate assistant for a semester</t>
  </si>
  <si>
    <t>PhD researcher for a year</t>
  </si>
  <si>
    <t>Elite postdoc strike team</t>
  </si>
  <si>
    <t>Lab Equipment</t>
  </si>
  <si>
    <t>Basic instruments</t>
  </si>
  <si>
    <t>Reliable lab setup</t>
  </si>
  <si>
    <t>Advanced machinery</t>
  </si>
  <si>
    <t>State-of-the-art facility access</t>
  </si>
  <si>
    <t>Conference Attendance</t>
  </si>
  <si>
    <t>Local symposium</t>
  </si>
  <si>
    <t>National conference</t>
  </si>
  <si>
    <t>International conference</t>
  </si>
  <si>
    <t>Prestige keynote tour</t>
  </si>
  <si>
    <t>Outsourced Data Analysis</t>
  </si>
  <si>
    <t>Undergraduate spreadsheet wrangler</t>
  </si>
  <si>
    <t>Freelance statistician</t>
  </si>
  <si>
    <t>Professional data scientist</t>
  </si>
  <si>
    <t>Renowned analytics firm</t>
  </si>
  <si>
    <t>Journal Tier</t>
  </si>
  <si>
    <t>Base Threshold</t>
  </si>
  <si>
    <t>First Accept Quality</t>
  </si>
  <si>
    <t>Revision Band Low</t>
  </si>
  <si>
    <t>Revision Band High</t>
  </si>
  <si>
    <t>Paper Initialization and Event Impact</t>
  </si>
  <si>
    <t>Base constant</t>
  </si>
  <si>
    <t>Research Event</t>
  </si>
  <si>
    <t>Quality Change</t>
  </si>
  <si>
    <t>XP multiplier</t>
  </si>
  <si>
    <t>Experiments are not going well</t>
  </si>
  <si>
    <t>Novelty multiplier</t>
  </si>
  <si>
    <t>Collaborator meeting sharpens argument</t>
  </si>
  <si>
    <t>Volatility min</t>
  </si>
  <si>
    <t>Dataset is flawed</t>
  </si>
  <si>
    <t>Volatility max</t>
  </si>
  <si>
    <t>Model breakthrough</t>
  </si>
  <si>
    <t>Events per paper</t>
  </si>
  <si>
    <t>Rival group publishes similar results</t>
  </si>
  <si>
    <t>Conference conversation helps</t>
  </si>
  <si>
    <t>Mysterious bug</t>
  </si>
  <si>
    <t>Expected event change</t>
  </si>
  <si>
    <t>Replication check succeeds</t>
  </si>
  <si>
    <t>Min single event</t>
  </si>
  <si>
    <t>Central assumption collapses</t>
  </si>
  <si>
    <t>Max single event</t>
  </si>
  <si>
    <t>Elegant theorem appears</t>
  </si>
  <si>
    <t>Expected total event change</t>
  </si>
  <si>
    <t>Nothing happens</t>
  </si>
  <si>
    <t>Vanity Item</t>
  </si>
  <si>
    <t>Citation Cost</t>
  </si>
  <si>
    <t>Department mug with your name</t>
  </si>
  <si>
    <t>Personalized office door plaque</t>
  </si>
  <si>
    <t>Framed conference badge collection</t>
  </si>
  <si>
    <t>Membership in a prestigious society</t>
  </si>
  <si>
    <t>Named graduate reading group</t>
  </si>
  <si>
    <t>Minor editorial board seat</t>
  </si>
  <si>
    <t>Endowed seminar series named after you</t>
  </si>
  <si>
    <t>Lecture hall named after you</t>
  </si>
  <si>
    <t>National academy fellowship</t>
  </si>
  <si>
    <t>Bronze statue outside the library</t>
  </si>
  <si>
    <t>International prize with confusing acronym</t>
  </si>
  <si>
    <t>Lifetime chair of everything</t>
  </si>
  <si>
    <t>Career and Promotion Parameters</t>
  </si>
  <si>
    <t>Parameter</t>
  </si>
  <si>
    <t>Notes</t>
  </si>
  <si>
    <t>Current concern</t>
  </si>
  <si>
    <t>Career length</t>
  </si>
  <si>
    <t>Years per full playthrough</t>
  </si>
  <si>
    <t>Associate reputation threshold</t>
  </si>
  <si>
    <t>Promotion offer appears at start of year</t>
  </si>
  <si>
    <t>Likely low</t>
  </si>
  <si>
    <t>Full professor reputation threshold</t>
  </si>
  <si>
    <t>Promotion success chance</t>
  </si>
  <si>
    <t>Independent chance per application</t>
  </si>
  <si>
    <t>Associate paper quality bonus</t>
  </si>
  <si>
    <t>Rank bonus added at initialization</t>
  </si>
  <si>
    <t>Runaway risk</t>
  </si>
  <si>
    <t>Rank</t>
  </si>
  <si>
    <t>Required Reputation</t>
  </si>
  <si>
    <t>Application Chance</t>
  </si>
  <si>
    <t>Assistant Professor</t>
  </si>
  <si>
    <t>Associate Professor</t>
  </si>
  <si>
    <t>Full 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</si>
</sst>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A8" sqref="A8"/>
    </sheetView>
  </sheetViews>
  <sheetFormatPr baseColWidth="10" defaultColWidth="8.83203125" defaultRowHeight="15"/>
  <sheetData>
    <row r="1" spans="1:8">
      <c r="A1" t="s">
        <v>0</v>
      </c>
    </row>
    <row r="3" spans="1:8">
      <c r="A3" t="s">
        <v>1</v>
      </c>
      <c r="B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>
      <c r="A4" t="s">
        <v>8</v>
      </c>
      <c r="B4">
        <v>0</v>
      </c>
      <c r="D4" t="s">
        <v>9</v>
      </c>
      <c r="E4">
        <v>1</v>
      </c>
      <c r="F4">
        <v>50</v>
      </c>
      <c r="G4">
        <f t="shared" ref="G4:G13" si="0">$B$9-F4</f>
        <v>37</v>
      </c>
      <c r="H4" t="str">
        <f t="shared" ref="H4:H13" si="1">IF(G4&gt;=10,"Accepted",IF(G4&lt;-15,"Rejected","Revision"))</f>
        <v>Accepted</v>
      </c>
    </row>
    <row r="5" spans="1:8">
      <c r="A5" t="s">
        <v>10</v>
      </c>
      <c r="B5">
        <v>1</v>
      </c>
      <c r="D5" t="s">
        <v>11</v>
      </c>
      <c r="E5">
        <v>2</v>
      </c>
      <c r="F5">
        <v>68</v>
      </c>
      <c r="G5">
        <f t="shared" si="0"/>
        <v>19</v>
      </c>
      <c r="H5" t="str">
        <f t="shared" si="1"/>
        <v>Accepted</v>
      </c>
    </row>
    <row r="6" spans="1:8">
      <c r="A6" t="s">
        <v>12</v>
      </c>
      <c r="B6">
        <v>10</v>
      </c>
      <c r="D6" t="s">
        <v>13</v>
      </c>
      <c r="E6">
        <v>3</v>
      </c>
      <c r="F6">
        <v>84</v>
      </c>
      <c r="G6">
        <f t="shared" si="0"/>
        <v>3</v>
      </c>
      <c r="H6" t="str">
        <f t="shared" si="1"/>
        <v>Revision</v>
      </c>
    </row>
    <row r="7" spans="1:8">
      <c r="A7" t="s">
        <v>14</v>
      </c>
      <c r="B7">
        <v>0.5</v>
      </c>
      <c r="D7" t="s">
        <v>15</v>
      </c>
      <c r="E7">
        <v>4</v>
      </c>
      <c r="F7">
        <v>102</v>
      </c>
      <c r="G7">
        <f t="shared" si="0"/>
        <v>-15</v>
      </c>
      <c r="H7" t="str">
        <f t="shared" si="1"/>
        <v>Revision</v>
      </c>
    </row>
    <row r="8" spans="1:8">
      <c r="A8" t="s">
        <v>16</v>
      </c>
      <c r="B8">
        <v>0</v>
      </c>
      <c r="D8" t="s">
        <v>17</v>
      </c>
      <c r="E8">
        <v>5</v>
      </c>
      <c r="F8">
        <v>122</v>
      </c>
      <c r="G8">
        <f t="shared" si="0"/>
        <v>-35</v>
      </c>
      <c r="H8" t="str">
        <f t="shared" si="1"/>
        <v>Rejected</v>
      </c>
    </row>
    <row r="9" spans="1:8">
      <c r="A9" t="s">
        <v>18</v>
      </c>
      <c r="B9">
        <f>58+7*B5+24*B7+B8+B6</f>
        <v>87</v>
      </c>
      <c r="D9" t="s">
        <v>19</v>
      </c>
      <c r="E9">
        <v>6</v>
      </c>
      <c r="F9">
        <v>146</v>
      </c>
      <c r="G9">
        <f t="shared" si="0"/>
        <v>-59</v>
      </c>
      <c r="H9" t="str">
        <f t="shared" si="1"/>
        <v>Rejected</v>
      </c>
    </row>
    <row r="10" spans="1:8">
      <c r="D10" t="s">
        <v>20</v>
      </c>
      <c r="E10">
        <v>7</v>
      </c>
      <c r="F10">
        <v>172</v>
      </c>
      <c r="G10">
        <f t="shared" si="0"/>
        <v>-85</v>
      </c>
      <c r="H10" t="str">
        <f t="shared" si="1"/>
        <v>Rejected</v>
      </c>
    </row>
    <row r="11" spans="1:8">
      <c r="D11" t="s">
        <v>21</v>
      </c>
      <c r="E11">
        <v>8</v>
      </c>
      <c r="F11">
        <v>205</v>
      </c>
      <c r="G11">
        <f t="shared" si="0"/>
        <v>-118</v>
      </c>
      <c r="H11" t="str">
        <f t="shared" si="1"/>
        <v>Rejected</v>
      </c>
    </row>
    <row r="12" spans="1:8">
      <c r="D12" t="s">
        <v>22</v>
      </c>
      <c r="E12">
        <v>9</v>
      </c>
      <c r="F12">
        <v>240</v>
      </c>
      <c r="G12">
        <f t="shared" si="0"/>
        <v>-153</v>
      </c>
      <c r="H12" t="str">
        <f t="shared" si="1"/>
        <v>Rejected</v>
      </c>
    </row>
    <row r="13" spans="1:8">
      <c r="D13" t="s">
        <v>23</v>
      </c>
      <c r="E13">
        <v>10</v>
      </c>
      <c r="F13">
        <v>285</v>
      </c>
      <c r="G13">
        <f t="shared" si="0"/>
        <v>-198</v>
      </c>
      <c r="H13" t="str">
        <f t="shared" si="1"/>
        <v>Rejected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/>
  </sheetViews>
  <sheetFormatPr baseColWidth="10" defaultColWidth="8.83203125" defaultRowHeight="15"/>
  <sheetData>
    <row r="1" spans="1:9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>
      <c r="A2" t="s">
        <v>33</v>
      </c>
      <c r="B2">
        <v>80</v>
      </c>
      <c r="C2">
        <v>120</v>
      </c>
      <c r="D2">
        <v>0.72</v>
      </c>
      <c r="E2">
        <f t="shared" ref="E2:E11" si="0">AVERAGE(B2:C2)</f>
        <v>100</v>
      </c>
      <c r="F2">
        <f t="shared" ref="F2:F11" si="1">MAX(0.05,MIN(0.95,D2+0.25*(1/(1+EXP(-0.11*(0-25))))))</f>
        <v>0.73502166254350187</v>
      </c>
      <c r="G2">
        <f t="shared" ref="G2:G11" si="2">MAX(0.05,MIN(0.95,D2+0.25*(1/(1+EXP(-0.11*(25-25))))))</f>
        <v>0.84499999999999997</v>
      </c>
      <c r="H2">
        <f t="shared" ref="H2:H11" si="3">MAX(0.05,MIN(0.95,D2+0.25*(1/(1+EXP(-0.11*(50-25))))))</f>
        <v>0.95</v>
      </c>
      <c r="I2">
        <f t="shared" ref="I2:I11" si="4">E2*F2</f>
        <v>73.502166254350186</v>
      </c>
    </row>
    <row r="3" spans="1:9">
      <c r="A3" t="s">
        <v>34</v>
      </c>
      <c r="B3">
        <v>180</v>
      </c>
      <c r="C3">
        <v>320</v>
      </c>
      <c r="D3">
        <v>0.48</v>
      </c>
      <c r="E3">
        <f t="shared" si="0"/>
        <v>250</v>
      </c>
      <c r="F3">
        <f t="shared" si="1"/>
        <v>0.49502166254350188</v>
      </c>
      <c r="G3">
        <f t="shared" si="2"/>
        <v>0.60499999999999998</v>
      </c>
      <c r="H3">
        <f t="shared" si="3"/>
        <v>0.71497833745649808</v>
      </c>
      <c r="I3">
        <f t="shared" si="4"/>
        <v>123.75541563587547</v>
      </c>
    </row>
    <row r="4" spans="1:9">
      <c r="A4" t="s">
        <v>35</v>
      </c>
      <c r="B4">
        <v>650</v>
      </c>
      <c r="C4">
        <v>1200</v>
      </c>
      <c r="D4">
        <v>0.26</v>
      </c>
      <c r="E4">
        <f t="shared" si="0"/>
        <v>925</v>
      </c>
      <c r="F4">
        <f t="shared" si="1"/>
        <v>0.27502166254350191</v>
      </c>
      <c r="G4">
        <f t="shared" si="2"/>
        <v>0.38500000000000001</v>
      </c>
      <c r="H4">
        <f t="shared" si="3"/>
        <v>0.49497833745649811</v>
      </c>
      <c r="I4">
        <f t="shared" si="4"/>
        <v>254.39503785273928</v>
      </c>
    </row>
    <row r="5" spans="1:9">
      <c r="A5" t="s">
        <v>36</v>
      </c>
      <c r="B5">
        <v>1800</v>
      </c>
      <c r="C5">
        <v>3200</v>
      </c>
      <c r="D5">
        <v>0.16</v>
      </c>
      <c r="E5">
        <f t="shared" si="0"/>
        <v>2500</v>
      </c>
      <c r="F5">
        <f t="shared" si="1"/>
        <v>0.1750216625435019</v>
      </c>
      <c r="G5">
        <f t="shared" si="2"/>
        <v>0.28500000000000003</v>
      </c>
      <c r="H5">
        <f t="shared" si="3"/>
        <v>0.39497833745649813</v>
      </c>
      <c r="I5">
        <f t="shared" si="4"/>
        <v>437.55415635875477</v>
      </c>
    </row>
    <row r="6" spans="1:9">
      <c r="A6" t="s">
        <v>37</v>
      </c>
      <c r="B6">
        <v>4500</v>
      </c>
      <c r="C6">
        <v>8000</v>
      </c>
      <c r="D6">
        <v>0.09</v>
      </c>
      <c r="E6">
        <f t="shared" si="0"/>
        <v>6250</v>
      </c>
      <c r="F6">
        <f t="shared" si="1"/>
        <v>0.1050216625435019</v>
      </c>
      <c r="G6">
        <f t="shared" si="2"/>
        <v>0.215</v>
      </c>
      <c r="H6">
        <f t="shared" si="3"/>
        <v>0.32497833745649807</v>
      </c>
      <c r="I6">
        <f t="shared" si="4"/>
        <v>656.38539089688686</v>
      </c>
    </row>
    <row r="7" spans="1:9">
      <c r="A7" t="s">
        <v>38</v>
      </c>
      <c r="B7">
        <v>9000</v>
      </c>
      <c r="C7">
        <v>16000</v>
      </c>
      <c r="D7">
        <v>5.5E-2</v>
      </c>
      <c r="E7">
        <f t="shared" si="0"/>
        <v>12500</v>
      </c>
      <c r="F7">
        <f t="shared" si="1"/>
        <v>7.0021662543501909E-2</v>
      </c>
      <c r="G7">
        <f t="shared" si="2"/>
        <v>0.18</v>
      </c>
      <c r="H7">
        <f t="shared" si="3"/>
        <v>0.28997833745649809</v>
      </c>
      <c r="I7">
        <f t="shared" si="4"/>
        <v>875.27078179377384</v>
      </c>
    </row>
    <row r="8" spans="1:9">
      <c r="A8" t="s">
        <v>39</v>
      </c>
      <c r="B8">
        <v>18000</v>
      </c>
      <c r="C8">
        <v>32000</v>
      </c>
      <c r="D8">
        <v>3.2000000000000001E-2</v>
      </c>
      <c r="E8">
        <f t="shared" si="0"/>
        <v>25000</v>
      </c>
      <c r="F8">
        <f t="shared" si="1"/>
        <v>0.05</v>
      </c>
      <c r="G8">
        <f t="shared" si="2"/>
        <v>0.157</v>
      </c>
      <c r="H8">
        <f t="shared" si="3"/>
        <v>0.26697833745649813</v>
      </c>
      <c r="I8">
        <f t="shared" si="4"/>
        <v>1250</v>
      </c>
    </row>
    <row r="9" spans="1:9">
      <c r="A9" t="s">
        <v>40</v>
      </c>
      <c r="B9">
        <v>35000</v>
      </c>
      <c r="C9">
        <v>55000</v>
      </c>
      <c r="D9">
        <v>1.7999999999999999E-2</v>
      </c>
      <c r="E9">
        <f t="shared" si="0"/>
        <v>45000</v>
      </c>
      <c r="F9">
        <f t="shared" si="1"/>
        <v>0.05</v>
      </c>
      <c r="G9">
        <f t="shared" si="2"/>
        <v>0.14299999999999999</v>
      </c>
      <c r="H9">
        <f t="shared" si="3"/>
        <v>0.25297833745649811</v>
      </c>
      <c r="I9">
        <f t="shared" si="4"/>
        <v>2250</v>
      </c>
    </row>
    <row r="10" spans="1:9">
      <c r="A10" t="s">
        <v>41</v>
      </c>
      <c r="B10">
        <v>65000</v>
      </c>
      <c r="C10">
        <v>85000</v>
      </c>
      <c r="D10">
        <v>0.01</v>
      </c>
      <c r="E10">
        <f t="shared" si="0"/>
        <v>75000</v>
      </c>
      <c r="F10">
        <f t="shared" si="1"/>
        <v>0.05</v>
      </c>
      <c r="G10">
        <f t="shared" si="2"/>
        <v>0.13500000000000001</v>
      </c>
      <c r="H10">
        <f t="shared" si="3"/>
        <v>0.24497833745649811</v>
      </c>
      <c r="I10">
        <f t="shared" si="4"/>
        <v>3750</v>
      </c>
    </row>
    <row r="11" spans="1:9">
      <c r="A11" t="s">
        <v>42</v>
      </c>
      <c r="B11">
        <v>90000</v>
      </c>
      <c r="C11">
        <v>110000</v>
      </c>
      <c r="D11">
        <v>4.0000000000000001E-3</v>
      </c>
      <c r="E11">
        <f t="shared" si="0"/>
        <v>100000</v>
      </c>
      <c r="F11">
        <f t="shared" si="1"/>
        <v>0.05</v>
      </c>
      <c r="G11">
        <f t="shared" si="2"/>
        <v>0.129</v>
      </c>
      <c r="H11">
        <f t="shared" si="3"/>
        <v>0.2389783374564981</v>
      </c>
      <c r="I11">
        <f t="shared" si="4"/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tabSelected="1" workbookViewId="0"/>
  </sheetViews>
  <sheetFormatPr baseColWidth="10" defaultColWidth="8.83203125" defaultRowHeight="15"/>
  <cols>
    <col min="1" max="1" width="24.1640625" customWidth="1"/>
    <col min="2" max="2" width="23.33203125" customWidth="1"/>
  </cols>
  <sheetData>
    <row r="1" spans="1:5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spans="1:5">
      <c r="A2" t="s">
        <v>48</v>
      </c>
      <c r="B2" t="s">
        <v>49</v>
      </c>
      <c r="C2">
        <v>0</v>
      </c>
      <c r="D2">
        <v>0</v>
      </c>
      <c r="E2" t="str">
        <f t="shared" ref="E2:E26" si="0">IF(D2=0,"",C2/D2)</f>
        <v/>
      </c>
    </row>
    <row r="3" spans="1:5">
      <c r="A3" t="s">
        <v>48</v>
      </c>
      <c r="B3" t="s">
        <v>50</v>
      </c>
      <c r="C3">
        <v>80</v>
      </c>
      <c r="D3">
        <v>1</v>
      </c>
      <c r="E3">
        <f t="shared" si="0"/>
        <v>80</v>
      </c>
    </row>
    <row r="4" spans="1:5">
      <c r="A4" t="s">
        <v>48</v>
      </c>
      <c r="B4" t="s">
        <v>51</v>
      </c>
      <c r="C4">
        <v>420</v>
      </c>
      <c r="D4">
        <v>3</v>
      </c>
      <c r="E4">
        <f t="shared" si="0"/>
        <v>140</v>
      </c>
    </row>
    <row r="5" spans="1:5">
      <c r="A5" t="s">
        <v>48</v>
      </c>
      <c r="B5" t="s">
        <v>52</v>
      </c>
      <c r="C5">
        <v>1800</v>
      </c>
      <c r="D5">
        <v>8</v>
      </c>
      <c r="E5">
        <f t="shared" si="0"/>
        <v>225</v>
      </c>
    </row>
    <row r="6" spans="1:5">
      <c r="A6" t="s">
        <v>48</v>
      </c>
      <c r="B6" t="s">
        <v>53</v>
      </c>
      <c r="C6">
        <v>9500</v>
      </c>
      <c r="D6">
        <v>18</v>
      </c>
      <c r="E6">
        <f t="shared" si="0"/>
        <v>527.77777777777783</v>
      </c>
    </row>
    <row r="7" spans="1:5">
      <c r="A7" t="s">
        <v>54</v>
      </c>
      <c r="B7" t="s">
        <v>49</v>
      </c>
      <c r="C7">
        <v>0</v>
      </c>
      <c r="D7">
        <v>0</v>
      </c>
      <c r="E7" t="str">
        <f t="shared" si="0"/>
        <v/>
      </c>
    </row>
    <row r="8" spans="1:5">
      <c r="A8" t="s">
        <v>54</v>
      </c>
      <c r="B8" t="s">
        <v>55</v>
      </c>
      <c r="C8">
        <v>150</v>
      </c>
      <c r="D8">
        <v>2</v>
      </c>
      <c r="E8">
        <f t="shared" si="0"/>
        <v>75</v>
      </c>
    </row>
    <row r="9" spans="1:5">
      <c r="A9" t="s">
        <v>54</v>
      </c>
      <c r="B9" t="s">
        <v>56</v>
      </c>
      <c r="C9">
        <v>1400</v>
      </c>
      <c r="D9">
        <v>7</v>
      </c>
      <c r="E9">
        <f t="shared" si="0"/>
        <v>200</v>
      </c>
    </row>
    <row r="10" spans="1:5">
      <c r="A10" t="s">
        <v>54</v>
      </c>
      <c r="B10" t="s">
        <v>57</v>
      </c>
      <c r="C10">
        <v>12000</v>
      </c>
      <c r="D10">
        <v>18</v>
      </c>
      <c r="E10">
        <f t="shared" si="0"/>
        <v>666.66666666666663</v>
      </c>
    </row>
    <row r="11" spans="1:5">
      <c r="A11" t="s">
        <v>54</v>
      </c>
      <c r="B11" t="s">
        <v>58</v>
      </c>
      <c r="C11">
        <v>65000</v>
      </c>
      <c r="D11">
        <v>45</v>
      </c>
      <c r="E11">
        <f t="shared" si="0"/>
        <v>1444.4444444444443</v>
      </c>
    </row>
    <row r="12" spans="1:5">
      <c r="A12" t="s">
        <v>59</v>
      </c>
      <c r="B12" t="s">
        <v>49</v>
      </c>
      <c r="C12">
        <v>0</v>
      </c>
      <c r="D12">
        <v>0</v>
      </c>
      <c r="E12" t="str">
        <f t="shared" si="0"/>
        <v/>
      </c>
    </row>
    <row r="13" spans="1:5">
      <c r="A13" t="s">
        <v>59</v>
      </c>
      <c r="B13" t="s">
        <v>60</v>
      </c>
      <c r="C13">
        <v>250</v>
      </c>
      <c r="D13">
        <v>2</v>
      </c>
      <c r="E13">
        <f t="shared" si="0"/>
        <v>125</v>
      </c>
    </row>
    <row r="14" spans="1:5">
      <c r="A14" t="s">
        <v>59</v>
      </c>
      <c r="B14" t="s">
        <v>61</v>
      </c>
      <c r="C14">
        <v>2800</v>
      </c>
      <c r="D14">
        <v>9</v>
      </c>
      <c r="E14">
        <f t="shared" si="0"/>
        <v>311.11111111111109</v>
      </c>
    </row>
    <row r="15" spans="1:5">
      <c r="A15" t="s">
        <v>59</v>
      </c>
      <c r="B15" t="s">
        <v>62</v>
      </c>
      <c r="C15">
        <v>22000</v>
      </c>
      <c r="D15">
        <v>28</v>
      </c>
      <c r="E15">
        <f t="shared" si="0"/>
        <v>785.71428571428567</v>
      </c>
    </row>
    <row r="16" spans="1:5">
      <c r="A16" t="s">
        <v>59</v>
      </c>
      <c r="B16" t="s">
        <v>63</v>
      </c>
      <c r="C16">
        <v>95000</v>
      </c>
      <c r="D16">
        <v>60</v>
      </c>
      <c r="E16">
        <f t="shared" si="0"/>
        <v>1583.3333333333333</v>
      </c>
    </row>
    <row r="17" spans="1:5">
      <c r="A17" t="s">
        <v>64</v>
      </c>
      <c r="B17" t="s">
        <v>49</v>
      </c>
      <c r="C17">
        <v>0</v>
      </c>
      <c r="D17">
        <v>0</v>
      </c>
      <c r="E17" t="str">
        <f t="shared" si="0"/>
        <v/>
      </c>
    </row>
    <row r="18" spans="1:5">
      <c r="A18" t="s">
        <v>64</v>
      </c>
      <c r="B18" t="s">
        <v>65</v>
      </c>
      <c r="C18">
        <v>120</v>
      </c>
      <c r="D18">
        <v>1</v>
      </c>
      <c r="E18">
        <f t="shared" si="0"/>
        <v>120</v>
      </c>
    </row>
    <row r="19" spans="1:5">
      <c r="A19" t="s">
        <v>64</v>
      </c>
      <c r="B19" t="s">
        <v>66</v>
      </c>
      <c r="C19">
        <v>900</v>
      </c>
      <c r="D19">
        <v>4</v>
      </c>
      <c r="E19">
        <f t="shared" si="0"/>
        <v>225</v>
      </c>
    </row>
    <row r="20" spans="1:5">
      <c r="A20" t="s">
        <v>64</v>
      </c>
      <c r="B20" t="s">
        <v>67</v>
      </c>
      <c r="C20">
        <v>3500</v>
      </c>
      <c r="D20">
        <v>10</v>
      </c>
      <c r="E20">
        <f t="shared" si="0"/>
        <v>350</v>
      </c>
    </row>
    <row r="21" spans="1:5">
      <c r="A21" t="s">
        <v>64</v>
      </c>
      <c r="B21" t="s">
        <v>68</v>
      </c>
      <c r="C21">
        <v>18000</v>
      </c>
      <c r="D21">
        <v>24</v>
      </c>
      <c r="E21">
        <f t="shared" si="0"/>
        <v>750</v>
      </c>
    </row>
    <row r="22" spans="1:5">
      <c r="A22" t="s">
        <v>69</v>
      </c>
      <c r="B22" t="s">
        <v>49</v>
      </c>
      <c r="C22">
        <v>0</v>
      </c>
      <c r="D22">
        <v>0</v>
      </c>
      <c r="E22" t="str">
        <f t="shared" si="0"/>
        <v/>
      </c>
    </row>
    <row r="23" spans="1:5">
      <c r="A23" t="s">
        <v>69</v>
      </c>
      <c r="B23" t="s">
        <v>70</v>
      </c>
      <c r="C23">
        <v>100</v>
      </c>
      <c r="D23">
        <v>1</v>
      </c>
      <c r="E23">
        <f t="shared" si="0"/>
        <v>100</v>
      </c>
    </row>
    <row r="24" spans="1:5">
      <c r="A24" t="s">
        <v>69</v>
      </c>
      <c r="B24" t="s">
        <v>71</v>
      </c>
      <c r="C24">
        <v>1200</v>
      </c>
      <c r="D24">
        <v>6</v>
      </c>
      <c r="E24">
        <f t="shared" si="0"/>
        <v>200</v>
      </c>
    </row>
    <row r="25" spans="1:5">
      <c r="A25" t="s">
        <v>69</v>
      </c>
      <c r="B25" t="s">
        <v>72</v>
      </c>
      <c r="C25">
        <v>8500</v>
      </c>
      <c r="D25">
        <v>18</v>
      </c>
      <c r="E25">
        <f t="shared" si="0"/>
        <v>472.22222222222223</v>
      </c>
    </row>
    <row r="26" spans="1:5">
      <c r="A26" t="s">
        <v>69</v>
      </c>
      <c r="B26" t="s">
        <v>73</v>
      </c>
      <c r="C26">
        <v>48000</v>
      </c>
      <c r="D26">
        <v>42</v>
      </c>
      <c r="E26">
        <f t="shared" si="0"/>
        <v>1142.8571428571429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baseColWidth="10" defaultColWidth="8.83203125" defaultRowHeight="15"/>
  <sheetData>
    <row r="1" spans="1:6">
      <c r="A1" t="s">
        <v>74</v>
      </c>
      <c r="B1" t="s">
        <v>4</v>
      </c>
      <c r="C1" t="s">
        <v>75</v>
      </c>
      <c r="D1" t="s">
        <v>76</v>
      </c>
      <c r="E1" t="s">
        <v>77</v>
      </c>
      <c r="F1" t="s">
        <v>78</v>
      </c>
    </row>
    <row r="2" spans="1:6">
      <c r="A2" t="s">
        <v>9</v>
      </c>
      <c r="B2">
        <v>1</v>
      </c>
      <c r="C2">
        <v>50</v>
      </c>
      <c r="D2">
        <f t="shared" ref="D2:D11" si="0">C2+10</f>
        <v>60</v>
      </c>
      <c r="E2">
        <f t="shared" ref="E2:E11" si="1">C2-15</f>
        <v>35</v>
      </c>
      <c r="F2">
        <f t="shared" ref="F2:F11" si="2">C2+9</f>
        <v>59</v>
      </c>
    </row>
    <row r="3" spans="1:6">
      <c r="A3" t="s">
        <v>11</v>
      </c>
      <c r="B3">
        <v>2</v>
      </c>
      <c r="C3">
        <v>68</v>
      </c>
      <c r="D3">
        <f t="shared" si="0"/>
        <v>78</v>
      </c>
      <c r="E3">
        <f t="shared" si="1"/>
        <v>53</v>
      </c>
      <c r="F3">
        <f t="shared" si="2"/>
        <v>77</v>
      </c>
    </row>
    <row r="4" spans="1:6">
      <c r="A4" t="s">
        <v>13</v>
      </c>
      <c r="B4">
        <v>3</v>
      </c>
      <c r="C4">
        <v>84</v>
      </c>
      <c r="D4">
        <f t="shared" si="0"/>
        <v>94</v>
      </c>
      <c r="E4">
        <f t="shared" si="1"/>
        <v>69</v>
      </c>
      <c r="F4">
        <f t="shared" si="2"/>
        <v>93</v>
      </c>
    </row>
    <row r="5" spans="1:6">
      <c r="A5" t="s">
        <v>15</v>
      </c>
      <c r="B5">
        <v>4</v>
      </c>
      <c r="C5">
        <v>102</v>
      </c>
      <c r="D5">
        <f t="shared" si="0"/>
        <v>112</v>
      </c>
      <c r="E5">
        <f t="shared" si="1"/>
        <v>87</v>
      </c>
      <c r="F5">
        <f t="shared" si="2"/>
        <v>111</v>
      </c>
    </row>
    <row r="6" spans="1:6">
      <c r="A6" t="s">
        <v>17</v>
      </c>
      <c r="B6">
        <v>5</v>
      </c>
      <c r="C6">
        <v>122</v>
      </c>
      <c r="D6">
        <f t="shared" si="0"/>
        <v>132</v>
      </c>
      <c r="E6">
        <f t="shared" si="1"/>
        <v>107</v>
      </c>
      <c r="F6">
        <f t="shared" si="2"/>
        <v>131</v>
      </c>
    </row>
    <row r="7" spans="1:6">
      <c r="A7" t="s">
        <v>19</v>
      </c>
      <c r="B7">
        <v>6</v>
      </c>
      <c r="C7">
        <v>146</v>
      </c>
      <c r="D7">
        <f t="shared" si="0"/>
        <v>156</v>
      </c>
      <c r="E7">
        <f t="shared" si="1"/>
        <v>131</v>
      </c>
      <c r="F7">
        <f t="shared" si="2"/>
        <v>155</v>
      </c>
    </row>
    <row r="8" spans="1:6">
      <c r="A8" t="s">
        <v>20</v>
      </c>
      <c r="B8">
        <v>7</v>
      </c>
      <c r="C8">
        <v>172</v>
      </c>
      <c r="D8">
        <f t="shared" si="0"/>
        <v>182</v>
      </c>
      <c r="E8">
        <f t="shared" si="1"/>
        <v>157</v>
      </c>
      <c r="F8">
        <f t="shared" si="2"/>
        <v>181</v>
      </c>
    </row>
    <row r="9" spans="1:6">
      <c r="A9" t="s">
        <v>21</v>
      </c>
      <c r="B9">
        <v>8</v>
      </c>
      <c r="C9">
        <v>205</v>
      </c>
      <c r="D9">
        <f t="shared" si="0"/>
        <v>215</v>
      </c>
      <c r="E9">
        <f t="shared" si="1"/>
        <v>190</v>
      </c>
      <c r="F9">
        <f t="shared" si="2"/>
        <v>214</v>
      </c>
    </row>
    <row r="10" spans="1:6">
      <c r="A10" t="s">
        <v>22</v>
      </c>
      <c r="B10">
        <v>9</v>
      </c>
      <c r="C10">
        <v>240</v>
      </c>
      <c r="D10">
        <f t="shared" si="0"/>
        <v>250</v>
      </c>
      <c r="E10">
        <f t="shared" si="1"/>
        <v>225</v>
      </c>
      <c r="F10">
        <f t="shared" si="2"/>
        <v>249</v>
      </c>
    </row>
    <row r="11" spans="1:6">
      <c r="A11" t="s">
        <v>23</v>
      </c>
      <c r="B11">
        <v>10</v>
      </c>
      <c r="C11">
        <v>285</v>
      </c>
      <c r="D11">
        <f t="shared" si="0"/>
        <v>295</v>
      </c>
      <c r="E11">
        <f t="shared" si="1"/>
        <v>270</v>
      </c>
      <c r="F11">
        <f t="shared" si="2"/>
        <v>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/>
  </sheetViews>
  <sheetFormatPr baseColWidth="10" defaultColWidth="8.83203125" defaultRowHeight="15"/>
  <sheetData>
    <row r="1" spans="1:5">
      <c r="A1" t="s">
        <v>79</v>
      </c>
    </row>
    <row r="3" spans="1:5">
      <c r="A3" t="s">
        <v>80</v>
      </c>
      <c r="B3">
        <v>58</v>
      </c>
      <c r="D3" t="s">
        <v>81</v>
      </c>
      <c r="E3" t="s">
        <v>82</v>
      </c>
    </row>
    <row r="4" spans="1:5">
      <c r="A4" t="s">
        <v>83</v>
      </c>
      <c r="B4">
        <v>7</v>
      </c>
      <c r="D4" t="s">
        <v>84</v>
      </c>
      <c r="E4">
        <v>-8</v>
      </c>
    </row>
    <row r="5" spans="1:5">
      <c r="A5" t="s">
        <v>85</v>
      </c>
      <c r="B5">
        <v>24</v>
      </c>
      <c r="D5" t="s">
        <v>86</v>
      </c>
      <c r="E5">
        <v>7</v>
      </c>
    </row>
    <row r="6" spans="1:5">
      <c r="A6" t="s">
        <v>87</v>
      </c>
      <c r="B6">
        <v>-18</v>
      </c>
      <c r="D6" t="s">
        <v>88</v>
      </c>
      <c r="E6">
        <v>-14</v>
      </c>
    </row>
    <row r="7" spans="1:5">
      <c r="A7" t="s">
        <v>89</v>
      </c>
      <c r="B7">
        <v>18</v>
      </c>
      <c r="D7" t="s">
        <v>90</v>
      </c>
      <c r="E7">
        <v>16</v>
      </c>
    </row>
    <row r="8" spans="1:5">
      <c r="A8" t="s">
        <v>91</v>
      </c>
      <c r="B8">
        <v>6</v>
      </c>
      <c r="D8" t="s">
        <v>92</v>
      </c>
      <c r="E8">
        <v>-12</v>
      </c>
    </row>
    <row r="9" spans="1:5">
      <c r="D9" t="s">
        <v>93</v>
      </c>
      <c r="E9">
        <v>5</v>
      </c>
    </row>
    <row r="10" spans="1:5">
      <c r="D10" t="s">
        <v>94</v>
      </c>
      <c r="E10">
        <v>-6</v>
      </c>
    </row>
    <row r="11" spans="1:5">
      <c r="A11" t="s">
        <v>95</v>
      </c>
      <c r="B11">
        <f>AVERAGE(E4:E14)</f>
        <v>-0.54545454545454541</v>
      </c>
      <c r="D11" t="s">
        <v>96</v>
      </c>
      <c r="E11">
        <v>10</v>
      </c>
    </row>
    <row r="12" spans="1:5">
      <c r="A12" t="s">
        <v>97</v>
      </c>
      <c r="B12">
        <f>MIN(E4:E14)</f>
        <v>-18</v>
      </c>
      <c r="D12" t="s">
        <v>98</v>
      </c>
      <c r="E12">
        <v>-18</v>
      </c>
    </row>
    <row r="13" spans="1:5">
      <c r="A13" t="s">
        <v>99</v>
      </c>
      <c r="B13">
        <f>MAX(E4:E14)</f>
        <v>16</v>
      </c>
      <c r="D13" t="s">
        <v>100</v>
      </c>
      <c r="E13">
        <v>14</v>
      </c>
    </row>
    <row r="14" spans="1:5">
      <c r="A14" t="s">
        <v>101</v>
      </c>
      <c r="B14">
        <f>B11*B8</f>
        <v>-3.2727272727272725</v>
      </c>
      <c r="D14" t="s">
        <v>102</v>
      </c>
      <c r="E1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baseColWidth="10" defaultColWidth="8.83203125" defaultRowHeight="15"/>
  <sheetData>
    <row r="1" spans="1:2">
      <c r="A1" t="s">
        <v>103</v>
      </c>
      <c r="B1" t="s">
        <v>104</v>
      </c>
    </row>
    <row r="2" spans="1:2">
      <c r="A2" t="s">
        <v>105</v>
      </c>
      <c r="B2">
        <v>15</v>
      </c>
    </row>
    <row r="3" spans="1:2">
      <c r="A3" t="s">
        <v>106</v>
      </c>
      <c r="B3">
        <v>35</v>
      </c>
    </row>
    <row r="4" spans="1:2">
      <c r="A4" t="s">
        <v>107</v>
      </c>
      <c r="B4">
        <v>60</v>
      </c>
    </row>
    <row r="5" spans="1:2">
      <c r="A5" t="s">
        <v>108</v>
      </c>
      <c r="B5">
        <v>100</v>
      </c>
    </row>
    <row r="6" spans="1:2">
      <c r="A6" t="s">
        <v>109</v>
      </c>
      <c r="B6">
        <v>180</v>
      </c>
    </row>
    <row r="7" spans="1:2">
      <c r="A7" t="s">
        <v>110</v>
      </c>
      <c r="B7">
        <v>300</v>
      </c>
    </row>
    <row r="8" spans="1:2">
      <c r="A8" t="s">
        <v>111</v>
      </c>
      <c r="B8">
        <v>650</v>
      </c>
    </row>
    <row r="9" spans="1:2">
      <c r="A9" t="s">
        <v>112</v>
      </c>
      <c r="B9">
        <v>1200</v>
      </c>
    </row>
    <row r="10" spans="1:2">
      <c r="A10" t="s">
        <v>113</v>
      </c>
      <c r="B10">
        <v>2200</v>
      </c>
    </row>
    <row r="11" spans="1:2">
      <c r="A11" t="s">
        <v>114</v>
      </c>
      <c r="B11">
        <v>4000</v>
      </c>
    </row>
    <row r="12" spans="1:2">
      <c r="A12" t="s">
        <v>115</v>
      </c>
      <c r="B12">
        <v>7000</v>
      </c>
    </row>
    <row r="13" spans="1:2">
      <c r="A13" t="s">
        <v>116</v>
      </c>
      <c r="B13">
        <v>12000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>
      <selection activeCell="E5" sqref="E5"/>
    </sheetView>
  </sheetViews>
  <sheetFormatPr baseColWidth="10" defaultColWidth="8.83203125" defaultRowHeight="15"/>
  <sheetData>
    <row r="1" spans="1:4">
      <c r="A1" t="s">
        <v>117</v>
      </c>
    </row>
    <row r="3" spans="1:4">
      <c r="A3" t="s">
        <v>118</v>
      </c>
      <c r="B3" t="s">
        <v>2</v>
      </c>
      <c r="C3" t="s">
        <v>119</v>
      </c>
      <c r="D3" t="s">
        <v>120</v>
      </c>
    </row>
    <row r="4" spans="1:4">
      <c r="A4" t="s">
        <v>121</v>
      </c>
      <c r="B4">
        <v>40</v>
      </c>
      <c r="C4" t="s">
        <v>122</v>
      </c>
    </row>
    <row r="5" spans="1:4">
      <c r="A5" t="s">
        <v>123</v>
      </c>
      <c r="B5">
        <v>10</v>
      </c>
      <c r="C5" t="s">
        <v>124</v>
      </c>
      <c r="D5" t="s">
        <v>125</v>
      </c>
    </row>
    <row r="6" spans="1:4">
      <c r="A6" t="s">
        <v>126</v>
      </c>
      <c r="B6">
        <v>25</v>
      </c>
      <c r="C6" t="s">
        <v>124</v>
      </c>
      <c r="D6" t="s">
        <v>125</v>
      </c>
    </row>
    <row r="7" spans="1:4">
      <c r="A7" t="s">
        <v>127</v>
      </c>
      <c r="B7">
        <v>0.25</v>
      </c>
      <c r="C7" t="s">
        <v>128</v>
      </c>
    </row>
    <row r="8" spans="1:4">
      <c r="A8" t="s">
        <v>129</v>
      </c>
      <c r="B8">
        <v>16</v>
      </c>
      <c r="C8" t="s">
        <v>130</v>
      </c>
      <c r="D8" t="s">
        <v>131</v>
      </c>
    </row>
    <row r="10" spans="1:4">
      <c r="A10" t="s">
        <v>132</v>
      </c>
      <c r="B10" t="s">
        <v>46</v>
      </c>
      <c r="C10" t="s">
        <v>133</v>
      </c>
      <c r="D10" t="s">
        <v>134</v>
      </c>
    </row>
    <row r="11" spans="1:4">
      <c r="A11" t="s">
        <v>135</v>
      </c>
      <c r="B11">
        <v>0</v>
      </c>
      <c r="C11">
        <v>0</v>
      </c>
    </row>
    <row r="12" spans="1:4">
      <c r="A12" t="s">
        <v>136</v>
      </c>
      <c r="B12">
        <v>16</v>
      </c>
      <c r="C12">
        <v>10</v>
      </c>
      <c r="D12">
        <v>0.25</v>
      </c>
    </row>
    <row r="13" spans="1:4">
      <c r="A13" t="s">
        <v>137</v>
      </c>
      <c r="B13">
        <v>36</v>
      </c>
      <c r="C13">
        <v>25</v>
      </c>
      <c r="D1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Dashboard</vt:lpstr>
      <vt:lpstr>Funders</vt:lpstr>
      <vt:lpstr>Allocations</vt:lpstr>
      <vt:lpstr>Journals</vt:lpstr>
      <vt:lpstr>Paper Quality</vt:lpstr>
      <vt:lpstr>Vanity</vt:lpstr>
      <vt:lpstr>Career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Clément</cp:lastModifiedBy>
  <dcterms:modified xsi:type="dcterms:W3CDTF">2026-05-28T07:30:59Z</dcterms:modified>
</cp:coreProperties>
</file>